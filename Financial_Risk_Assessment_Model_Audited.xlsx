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cc80619f5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9dc578d5ed1419f"/>
    <x:sheet xmlns:r="http://schemas.openxmlformats.org/officeDocument/2006/relationships" name="Raw Data" sheetId="2" r:id="Rdd888de7180647ae"/>
    <x:sheet xmlns:r="http://schemas.openxmlformats.org/officeDocument/2006/relationships" name="Assumptions" sheetId="3" r:id="R5520a6a1e9094617"/>
    <x:sheet xmlns:r="http://schemas.openxmlformats.org/officeDocument/2006/relationships" name="Financial Statements" sheetId="4" r:id="Red220c3f6db94bca"/>
    <x:sheet xmlns:r="http://schemas.openxmlformats.org/officeDocument/2006/relationships" name="Ratio Analysis" sheetId="5" r:id="R40cd652440124ae6"/>
    <x:sheet xmlns:r="http://schemas.openxmlformats.org/officeDocument/2006/relationships" name="Risk Assessment" sheetId="6" r:id="R0319deacb56d4238"/>
    <x:sheet xmlns:r="http://schemas.openxmlformats.org/officeDocument/2006/relationships" name="Scenario Analysis" sheetId="7" r:id="Rc597dd01fa6f4fc3"/>
    <x:sheet xmlns:r="http://schemas.openxmlformats.org/officeDocument/2006/relationships" name="Dashboard" sheetId="8" r:id="Rcb10ceca6eaa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-"/>
    <x:numFmt numFmtId="201" formatCode="0.0%;[Red](0.0%);-"/>
    <x:numFmt numFmtId="202" formatCode="0.0x;[Red](0.0x);-"/>
    <x:numFmt numFmtId="203" formatCode="0.00"/>
  </x:numFmts>
  <x:fonts count="1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000FF"/>
      <x:name val="Carlito"/>
    </x:font>
    <x:font>
      <x:b/>
      <x:sz val="11"/>
      <x:color rgb="FF1F4E78"/>
      <x:name val="Carlito"/>
    </x:font>
    <x:font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000000"/>
      <x:name val="Aptos"/>
    </x:font>
    <x:font>
      <x:b/>
      <x:sz val="10"/>
      <x:color rgb="FF0000FF"/>
      <x:name val="Aptos"/>
    </x:font>
    <x:font>
      <x:sz val="10"/>
      <x:color rgb="FF0000FF"/>
      <x:name val="Aptos"/>
    </x:font>
    <x:font>
      <x:b/>
      <x:sz val="10"/>
      <x:color rgb="FF1F4E78"/>
      <x:name val="Aptos"/>
    </x:font>
    <x:font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8FBFD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5" xfId="0" applyNumberFormat="1" applyFont="1" applyFill="1" applyBorder="1"/>
    <x:xf numFmtId="20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0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6" fillId="5" borderId="0" xfId="0" applyNumberFormat="1" applyFont="1" applyFill="1" applyBorder="1"/>
    <x:xf numFmtId="200" fontId="6" fillId="5" borderId="0" xfId="0" applyNumberFormat="1" applyFont="1" applyFill="1" applyBorder="1"/>
    <x:xf numFmtId="201" fontId="6" fillId="5" borderId="1" xfId="0" applyNumberFormat="1" applyFont="1" applyFill="1" applyBorder="1"/>
    <x:xf numFmtId="201" fontId="6" fillId="5" borderId="11" xfId="0" applyNumberFormat="1" applyFont="1" applyFill="1" applyBorder="1"/>
    <x:xf numFmtId="201" fontId="6" fillId="5" borderId="2" xfId="0" applyNumberFormat="1" applyFont="1" applyFill="1" applyBorder="1"/>
    <x:xf numFmtId="201" fontId="6" fillId="5" borderId="3" xfId="0" applyNumberFormat="1" applyFont="1" applyFill="1" applyBorder="1"/>
    <x:xf numFmtId="201" fontId="6" fillId="5" borderId="4" xfId="0" applyNumberFormat="1" applyFont="1" applyFill="1" applyBorder="1"/>
    <x:xf numFmtId="200" fontId="6" fillId="5" borderId="3" xfId="0" applyNumberFormat="1" applyFont="1" applyFill="1" applyBorder="1"/>
    <x:xf numFmtId="200" fontId="6" fillId="5" borderId="4" xfId="0" applyNumberFormat="1" applyFont="1" applyFill="1" applyBorder="1"/>
    <x:xf numFmtId="201" fontId="6" fillId="5" borderId="5" xfId="0" applyNumberFormat="1" applyFont="1" applyFill="1" applyBorder="1"/>
    <x:xf numFmtId="201" fontId="6" fillId="5" borderId="10" xfId="0" applyNumberFormat="1" applyFont="1" applyFill="1" applyBorder="1"/>
    <x:xf numFmtId="201" fontId="6" fillId="5" borderId="6" xfId="0" applyNumberFormat="1" applyFont="1" applyFill="1" applyBorder="1"/>
    <x:xf numFmtId="201" fontId="0" fillId="0" borderId="10" xfId="0" applyNumberFormat="1" applyFont="1" applyFill="1" applyBorder="1"/>
    <x:xf numFmtId="0" fontId="4" fillId="6" borderId="8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1" fontId="0" fillId="6" borderId="10" xfId="0" applyNumberFormat="1" applyFont="1" applyFill="1" applyBorder="1"/>
    <x:xf numFmtId="202" fontId="0" fillId="0" borderId="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4" xfId="0" applyNumberFormat="1" applyFont="1" applyFill="1" applyBorder="1" applyAlignment="1">
      <x:alignment wrapText="1"/>
    </x:xf>
    <x:xf numFmtId="203" fontId="0" fillId="0" borderId="10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4" fillId="3" borderId="8" xfId="0" applyNumberFormat="1" applyFont="1" applyFill="1" applyBorder="1" applyAlignment="1">
      <x:alignment wrapText="1"/>
    </x:xf>
    <x:xf numFmtId="203" fontId="4" fillId="3" borderId="9" xfId="0" applyNumberFormat="1" applyFont="1" applyFill="1" applyBorder="1" applyAlignment="1">
      <x:alignment wrapText="1"/>
    </x:xf>
    <x:xf numFmtId="201" fontId="4" fillId="3" borderId="8" xfId="0" applyNumberFormat="1" applyFont="1" applyFill="1" applyBorder="1" applyAlignment="1">
      <x:alignment wrapText="1"/>
    </x:xf>
    <x:xf numFmtId="201" fontId="4" fillId="3" borderId="9" xfId="0" applyNumberFormat="1" applyFont="1" applyFill="1" applyBorder="1" applyAlignment="1">
      <x:alignment wrapText="1"/>
    </x:xf>
    <x:xf numFmtId="201" fontId="0" fillId="0" borderId="3" xfId="0" applyNumberFormat="1" applyFont="1" applyFill="1" applyBorder="1"/>
    <x:xf numFmtId="202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10" xfId="0" applyNumberFormat="1" applyFont="1" applyFill="1" applyBorder="1"/>
    <x:xf numFmtId="202" fontId="0" fillId="0" borderId="6" xfId="0" applyNumberFormat="1" applyFont="1" applyFill="1" applyBorder="1"/>
    <x:xf numFmtId="203" fontId="0" fillId="0" borderId="4" xfId="0" applyNumberFormat="1" applyFont="1" applyFill="1" applyBorder="1"/>
    <x:xf numFmtId="203" fontId="0" fillId="0" borderId="10" xfId="0" applyNumberFormat="1" applyFont="1" applyFill="1" applyBorder="1"/>
    <x:xf numFmtId="203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2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200" fontId="0" fillId="7" borderId="5" xfId="0" applyNumberFormat="1" applyFont="1" applyFill="1" applyBorder="1" applyAlignment="1">
      <x:alignment wrapText="1"/>
    </x:xf>
    <x:xf numFmtId="200" fontId="0" fillId="7" borderId="6" xfId="0" applyNumberFormat="1" applyFont="1" applyFill="1" applyBorder="1" applyAlignment="1">
      <x:alignment wrapText="1"/>
    </x:xf>
    <x:xf numFmtId="201" fontId="0" fillId="7" borderId="5" xfId="0" applyNumberFormat="1" applyFont="1" applyFill="1" applyBorder="1" applyAlignment="1">
      <x:alignment wrapText="1"/>
    </x:xf>
    <x:xf numFmtId="201" fontId="0" fillId="7" borderId="6" xfId="0" applyNumberFormat="1" applyFont="1" applyFill="1" applyBorder="1" applyAlignment="1">
      <x:alignment wrapText="1"/>
    </x:xf>
    <x:xf numFmtId="202" fontId="0" fillId="7" borderId="5" xfId="0" applyNumberFormat="1" applyFont="1" applyFill="1" applyBorder="1" applyAlignment="1">
      <x:alignment wrapText="1"/>
    </x:xf>
    <x:xf numFmtId="202" fontId="0" fillId="7" borderId="6" xfId="0" applyNumberFormat="1" applyFont="1" applyFill="1" applyBorder="1" applyAlignment="1">
      <x:alignment wrapText="1"/>
    </x:xf>
    <x:xf numFmtId="203" fontId="0" fillId="7" borderId="5" xfId="0" applyNumberFormat="1" applyFont="1" applyFill="1" applyBorder="1" applyAlignment="1">
      <x:alignment wrapText="1"/>
    </x:xf>
    <x:xf numFmtId="203" fontId="0" fillId="7" borderId="6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8" borderId="0" xfId="0" applyNumberFormat="1" applyFont="1" applyFill="1" applyBorder="1"/>
    <x:xf numFmtId="0" fontId="0" fillId="7" borderId="11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10" xfId="0" applyNumberFormat="1" applyFont="1" applyFill="1" applyBorder="1"/>
    <x:xf numFmtId="203" fontId="0" fillId="7" borderId="11" xfId="0" applyNumberFormat="1" applyFont="1" applyFill="1" applyBorder="1"/>
    <x:xf numFmtId="203" fontId="0" fillId="7" borderId="0" xfId="0" applyNumberFormat="1" applyFont="1" applyFill="1" applyBorder="1"/>
    <x:xf numFmtId="203" fontId="0" fillId="7" borderId="10" xfId="0" applyNumberFormat="1" applyFont="1" applyFill="1" applyBorder="1"/>
    <x:xf numFmtId="202" fontId="0" fillId="7" borderId="2" xfId="0" applyNumberFormat="1" applyFont="1" applyFill="1" applyBorder="1"/>
    <x:xf numFmtId="202" fontId="0" fillId="7" borderId="4" xfId="0" applyNumberFormat="1" applyFont="1" applyFill="1" applyBorder="1"/>
    <x:xf numFmtId="202" fontId="0" fillId="7" borderId="6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2" fillId="3" borderId="7" xfId="0" applyNumberFormat="1" applyFont="1" applyFill="1" applyBorder="1" applyAlignment="1">
      <x:alignment wrapText="1"/>
    </x:xf>
    <x:xf numFmtId="0" fontId="12" fillId="3" borderId="8" xfId="0" applyNumberFormat="1" applyFont="1" applyFill="1" applyBorder="1" applyAlignment="1">
      <x:alignment wrapText="1"/>
    </x:xf>
    <x:xf numFmtId="0" fontId="12" fillId="3" borderId="9" xfId="0" applyNumberFormat="1" applyFont="1" applyFill="1" applyBorder="1" applyAlignment="1">
      <x:alignment wrapText="1"/>
    </x:xf>
    <x:xf numFmtId="0" fontId="11" fillId="0" borderId="3" xfId="0" applyNumberFormat="1" applyFont="1" applyFill="1" applyBorder="1"/>
    <x:xf numFmtId="200" fontId="10" fillId="0" borderId="0" xfId="0" applyNumberFormat="1" applyFont="1" applyFill="1" applyBorder="1"/>
    <x:xf numFmtId="0" fontId="11" fillId="0" borderId="5" xfId="0" applyNumberFormat="1" applyFont="1" applyFill="1" applyBorder="1"/>
    <x:xf numFmtId="200" fontId="10" fillId="0" borderId="10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3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10" xfId="0" applyNumberFormat="1" applyFont="1" applyFill="1" applyBorder="1"/>
    <x:xf numFmtId="0" fontId="10" fillId="0" borderId="6" xfId="0" applyNumberFormat="1" applyFont="1" applyFill="1" applyBorder="1"/>
    <x:xf numFmtId="0" fontId="11" fillId="0" borderId="3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200" fontId="10" fillId="0" borderId="10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3" fillId="5" borderId="0" xfId="0" applyNumberFormat="1" applyFont="1" applyFill="1" applyBorder="1"/>
    <x:xf numFmtId="201" fontId="14" fillId="5" borderId="1" xfId="0" applyNumberFormat="1" applyFont="1" applyFill="1" applyBorder="1"/>
    <x:xf numFmtId="201" fontId="14" fillId="5" borderId="11" xfId="0" applyNumberFormat="1" applyFont="1" applyFill="1" applyBorder="1"/>
    <x:xf numFmtId="201" fontId="14" fillId="5" borderId="2" xfId="0" applyNumberFormat="1" applyFont="1" applyFill="1" applyBorder="1"/>
    <x:xf numFmtId="201" fontId="10" fillId="0" borderId="0" xfId="0" applyNumberFormat="1" applyFont="1" applyFill="1" applyBorder="1"/>
    <x:xf numFmtId="201" fontId="14" fillId="5" borderId="3" xfId="0" applyNumberFormat="1" applyFont="1" applyFill="1" applyBorder="1"/>
    <x:xf numFmtId="201" fontId="14" fillId="5" borderId="0" xfId="0" applyNumberFormat="1" applyFont="1" applyFill="1" applyBorder="1"/>
    <x:xf numFmtId="201" fontId="14" fillId="5" borderId="4" xfId="0" applyNumberFormat="1" applyFont="1" applyFill="1" applyBorder="1"/>
    <x:xf numFmtId="200" fontId="14" fillId="5" borderId="3" xfId="0" applyNumberFormat="1" applyFont="1" applyFill="1" applyBorder="1"/>
    <x:xf numFmtId="200" fontId="14" fillId="5" borderId="0" xfId="0" applyNumberFormat="1" applyFont="1" applyFill="1" applyBorder="1"/>
    <x:xf numFmtId="200" fontId="14" fillId="5" borderId="4" xfId="0" applyNumberFormat="1" applyFont="1" applyFill="1" applyBorder="1"/>
    <x:xf numFmtId="201" fontId="14" fillId="5" borderId="5" xfId="0" applyNumberFormat="1" applyFont="1" applyFill="1" applyBorder="1"/>
    <x:xf numFmtId="201" fontId="14" fillId="5" borderId="10" xfId="0" applyNumberFormat="1" applyFont="1" applyFill="1" applyBorder="1"/>
    <x:xf numFmtId="201" fontId="14" fillId="5" borderId="6" xfId="0" applyNumberFormat="1" applyFont="1" applyFill="1" applyBorder="1"/>
    <x:xf numFmtId="201" fontId="10" fillId="0" borderId="1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201" fontId="14" fillId="5" borderId="1" xfId="0" applyNumberFormat="1" applyFont="1" applyFill="1" applyBorder="1" applyAlignment="1">
      <x:alignment wrapText="1"/>
    </x:xf>
    <x:xf numFmtId="201" fontId="14" fillId="5" borderId="11" xfId="0" applyNumberFormat="1" applyFont="1" applyFill="1" applyBorder="1" applyAlignment="1">
      <x:alignment wrapText="1"/>
    </x:xf>
    <x:xf numFmtId="201" fontId="14" fillId="5" borderId="2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201" fontId="14" fillId="5" borderId="3" xfId="0" applyNumberFormat="1" applyFont="1" applyFill="1" applyBorder="1" applyAlignment="1">
      <x:alignment wrapText="1"/>
    </x:xf>
    <x:xf numFmtId="201" fontId="14" fillId="5" borderId="0" xfId="0" applyNumberFormat="1" applyFont="1" applyFill="1" applyBorder="1" applyAlignment="1">
      <x:alignment wrapText="1"/>
    </x:xf>
    <x:xf numFmtId="201" fontId="14" fillId="5" borderId="4" xfId="0" applyNumberFormat="1" applyFont="1" applyFill="1" applyBorder="1" applyAlignment="1">
      <x:alignment wrapText="1"/>
    </x:xf>
    <x:xf numFmtId="200" fontId="14" fillId="5" borderId="3" xfId="0" applyNumberFormat="1" applyFont="1" applyFill="1" applyBorder="1" applyAlignment="1">
      <x:alignment wrapText="1"/>
    </x:xf>
    <x:xf numFmtId="200" fontId="14" fillId="5" borderId="0" xfId="0" applyNumberFormat="1" applyFont="1" applyFill="1" applyBorder="1" applyAlignment="1">
      <x:alignment wrapText="1"/>
    </x:xf>
    <x:xf numFmtId="200" fontId="14" fillId="5" borderId="4" xfId="0" applyNumberFormat="1" applyFont="1" applyFill="1" applyBorder="1" applyAlignment="1">
      <x:alignment wrapText="1"/>
    </x:xf>
    <x:xf numFmtId="201" fontId="14" fillId="5" borderId="5" xfId="0" applyNumberFormat="1" applyFont="1" applyFill="1" applyBorder="1" applyAlignment="1">
      <x:alignment wrapText="1"/>
    </x:xf>
    <x:xf numFmtId="201" fontId="14" fillId="5" borderId="10" xfId="0" applyNumberFormat="1" applyFont="1" applyFill="1" applyBorder="1" applyAlignment="1">
      <x:alignment wrapText="1"/>
    </x:xf>
    <x:xf numFmtId="201" fontId="14" fillId="5" borderId="6" xfId="0" applyNumberFormat="1" applyFont="1" applyFill="1" applyBorder="1" applyAlignment="1">
      <x:alignment wrapText="1"/>
    </x:xf>
    <x:xf numFmtId="201" fontId="10" fillId="0" borderId="10" xfId="0" applyNumberFormat="1" applyFont="1" applyFill="1" applyBorder="1" applyAlignment="1">
      <x:alignment wrapText="1"/>
    </x:xf>
    <x:xf numFmtId="0" fontId="12" fillId="6" borderId="8" xfId="0" applyNumberFormat="1" applyFont="1" applyFill="1" applyBorder="1" applyAlignment="1">
      <x:alignment wrapText="1"/>
    </x:xf>
    <x:xf numFmtId="200" fontId="10" fillId="6" borderId="0" xfId="0" applyNumberFormat="1" applyFont="1" applyFill="1" applyBorder="1"/>
    <x:xf numFmtId="201" fontId="10" fillId="6" borderId="0" xfId="0" applyNumberFormat="1" applyFont="1" applyFill="1" applyBorder="1"/>
    <x:xf numFmtId="201" fontId="10" fillId="6" borderId="10" xfId="0" applyNumberFormat="1" applyFont="1" applyFill="1" applyBorder="1"/>
    <x:xf numFmtId="200" fontId="10" fillId="6" borderId="0" xfId="0" applyNumberFormat="1" applyFont="1" applyFill="1" applyBorder="1" applyAlignment="1">
      <x:alignment wrapText="1"/>
    </x:xf>
    <x:xf numFmtId="201" fontId="10" fillId="6" borderId="0" xfId="0" applyNumberFormat="1" applyFont="1" applyFill="1" applyBorder="1" applyAlignment="1">
      <x:alignment wrapText="1"/>
    </x:xf>
    <x:xf numFmtId="201" fontId="10" fillId="6" borderId="10" xfId="0" applyNumberFormat="1" applyFont="1" applyFill="1" applyBorder="1" applyAlignment="1">
      <x:alignment wrapText="1"/>
    </x:xf>
    <x:xf numFmtId="202" fontId="10" fillId="0" borderId="0" xfId="0" applyNumberFormat="1" applyFont="1" applyFill="1" applyBorder="1"/>
    <x:xf numFmtId="202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11" xfId="0" applyNumberFormat="1" applyFont="1" applyFill="1" applyBorder="1" applyAlignment="1">
      <x:alignment wrapText="1"/>
    </x:xf>
    <x:xf numFmtId="203" fontId="10" fillId="0" borderId="0" xfId="0" applyNumberFormat="1" applyFont="1" applyFill="1" applyBorder="1" applyAlignment="1">
      <x:alignment wrapText="1"/>
    </x:xf>
    <x:xf numFmtId="203" fontId="10" fillId="0" borderId="4" xfId="0" applyNumberFormat="1" applyFont="1" applyFill="1" applyBorder="1" applyAlignment="1">
      <x:alignment wrapText="1"/>
    </x:xf>
    <x:xf numFmtId="203" fontId="10" fillId="0" borderId="10" xfId="0" applyNumberFormat="1" applyFont="1" applyFill="1" applyBorder="1" applyAlignment="1">
      <x:alignment wrapText="1"/>
    </x:xf>
    <x:xf numFmtId="203" fontId="10" fillId="0" borderId="6" xfId="0" applyNumberFormat="1" applyFont="1" applyFill="1" applyBorder="1" applyAlignment="1">
      <x:alignment wrapText="1"/>
    </x:xf>
    <x:xf numFmtId="202" fontId="10" fillId="0" borderId="10" xfId="0" applyNumberFormat="1" applyFont="1" applyFill="1" applyBorder="1" applyAlignment="1">
      <x:alignment wrapText="1"/>
    </x:xf>
    <x:xf numFmtId="203" fontId="12" fillId="3" borderId="8" xfId="0" applyNumberFormat="1" applyFont="1" applyFill="1" applyBorder="1" applyAlignment="1">
      <x:alignment wrapText="1"/>
    </x:xf>
    <x:xf numFmtId="203" fontId="12" fillId="3" borderId="9" xfId="0" applyNumberFormat="1" applyFont="1" applyFill="1" applyBorder="1" applyAlignment="1">
      <x:alignment wrapText="1"/>
    </x:xf>
    <x:xf numFmtId="201" fontId="12" fillId="3" borderId="8" xfId="0" applyNumberFormat="1" applyFont="1" applyFill="1" applyBorder="1" applyAlignment="1">
      <x:alignment wrapText="1"/>
    </x:xf>
    <x:xf numFmtId="201" fontId="12" fillId="3" borderId="9" xfId="0" applyNumberFormat="1" applyFont="1" applyFill="1" applyBorder="1" applyAlignment="1">
      <x:alignment wrapText="1"/>
    </x:xf>
    <x:xf numFmtId="201" fontId="10" fillId="0" borderId="3" xfId="0" applyNumberFormat="1" applyFont="1" applyFill="1" applyBorder="1"/>
    <x:xf numFmtId="202" fontId="10" fillId="0" borderId="4" xfId="0" applyNumberFormat="1" applyFont="1" applyFill="1" applyBorder="1"/>
    <x:xf numFmtId="203" fontId="10" fillId="0" borderId="0" xfId="0" applyNumberFormat="1" applyFont="1" applyFill="1" applyBorder="1"/>
    <x:xf numFmtId="203" fontId="10" fillId="0" borderId="4" xfId="0" applyNumberFormat="1" applyFont="1" applyFill="1" applyBorder="1"/>
    <x:xf numFmtId="201" fontId="10" fillId="0" borderId="5" xfId="0" applyNumberFormat="1" applyFont="1" applyFill="1" applyBorder="1"/>
    <x:xf numFmtId="202" fontId="10" fillId="0" borderId="10" xfId="0" applyNumberFormat="1" applyFont="1" applyFill="1" applyBorder="1"/>
    <x:xf numFmtId="202" fontId="10" fillId="0" borderId="6" xfId="0" applyNumberFormat="1" applyFont="1" applyFill="1" applyBorder="1"/>
    <x:xf numFmtId="203" fontId="10" fillId="0" borderId="10" xfId="0" applyNumberFormat="1" applyFont="1" applyFill="1" applyBorder="1"/>
    <x:xf numFmtId="203" fontId="10" fillId="0" borderId="6" xfId="0" applyNumberFormat="1" applyFont="1" applyFill="1" applyBorder="1"/>
    <x:xf numFmtId="201" fontId="10" fillId="0" borderId="3" xfId="0" applyNumberFormat="1" applyFont="1" applyFill="1" applyBorder="1" applyAlignment="1">
      <x:alignment wrapText="1"/>
    </x:xf>
    <x:xf numFmtId="202" fontId="10" fillId="0" borderId="4" xfId="0" applyNumberFormat="1" applyFont="1" applyFill="1" applyBorder="1" applyAlignment="1">
      <x:alignment wrapText="1"/>
    </x:xf>
    <x:xf numFmtId="201" fontId="10" fillId="0" borderId="5" xfId="0" applyNumberFormat="1" applyFont="1" applyFill="1" applyBorder="1" applyAlignment="1">
      <x:alignment wrapText="1"/>
    </x:xf>
    <x:xf numFmtId="202" fontId="10" fillId="0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/>
    <x:xf numFmtId="0" fontId="11" fillId="3" borderId="8" xfId="0" applyNumberFormat="1" applyFont="1" applyFill="1" applyBorder="1"/>
    <x:xf numFmtId="0" fontId="11" fillId="3" borderId="9" xfId="0" applyNumberFormat="1" applyFont="1" applyFill="1" applyBorder="1"/>
    <x:xf numFmtId="0" fontId="9" fillId="4" borderId="0" xfId="0" applyNumberFormat="1" applyFont="1" applyFill="1" applyBorder="1"/>
    <x:xf numFmtId="0" fontId="15" fillId="7" borderId="1" xfId="0" applyNumberFormat="1" applyFont="1" applyFill="1" applyBorder="1" applyAlignment="1">
      <x:alignment wrapText="1"/>
    </x:xf>
    <x:xf numFmtId="0" fontId="15" fillId="7" borderId="2" xfId="0" applyNumberFormat="1" applyFont="1" applyFill="1" applyBorder="1" applyAlignment="1">
      <x:alignment wrapText="1"/>
    </x:xf>
    <x:xf numFmtId="200" fontId="10" fillId="7" borderId="5" xfId="0" applyNumberFormat="1" applyFont="1" applyFill="1" applyBorder="1" applyAlignment="1">
      <x:alignment wrapText="1"/>
    </x:xf>
    <x:xf numFmtId="200" fontId="10" fillId="7" borderId="6" xfId="0" applyNumberFormat="1" applyFont="1" applyFill="1" applyBorder="1" applyAlignment="1">
      <x:alignment wrapText="1"/>
    </x:xf>
    <x:xf numFmtId="201" fontId="10" fillId="7" borderId="5" xfId="0" applyNumberFormat="1" applyFont="1" applyFill="1" applyBorder="1" applyAlignment="1">
      <x:alignment wrapText="1"/>
    </x:xf>
    <x:xf numFmtId="201" fontId="10" fillId="7" borderId="6" xfId="0" applyNumberFormat="1" applyFont="1" applyFill="1" applyBorder="1" applyAlignment="1">
      <x:alignment wrapText="1"/>
    </x:xf>
    <x:xf numFmtId="202" fontId="10" fillId="7" borderId="5" xfId="0" applyNumberFormat="1" applyFont="1" applyFill="1" applyBorder="1" applyAlignment="1">
      <x:alignment wrapText="1"/>
    </x:xf>
    <x:xf numFmtId="202" fontId="10" fillId="7" borderId="6" xfId="0" applyNumberFormat="1" applyFont="1" applyFill="1" applyBorder="1" applyAlignment="1">
      <x:alignment wrapText="1"/>
    </x:xf>
    <x:xf numFmtId="203" fontId="10" fillId="7" borderId="5" xfId="0" applyNumberFormat="1" applyFont="1" applyFill="1" applyBorder="1" applyAlignment="1">
      <x:alignment wrapText="1"/>
    </x:xf>
    <x:xf numFmtId="203" fontId="10" fillId="7" borderId="6" xfId="0" applyNumberFormat="1" applyFont="1" applyFill="1" applyBorder="1" applyAlignment="1">
      <x:alignment wrapText="1"/>
    </x:xf>
    <x:xf numFmtId="0" fontId="16" fillId="8" borderId="0" xfId="0" applyNumberFormat="1" applyFont="1" applyFill="1" applyBorder="1"/>
    <x:xf numFmtId="0" fontId="10" fillId="7" borderId="1" xfId="0" applyNumberFormat="1" applyFont="1" applyFill="1" applyBorder="1"/>
    <x:xf numFmtId="203" fontId="10" fillId="7" borderId="11" xfId="0" applyNumberFormat="1" applyFont="1" applyFill="1" applyBorder="1"/>
    <x:xf numFmtId="0" fontId="10" fillId="7" borderId="11" xfId="0" applyNumberFormat="1" applyFont="1" applyFill="1" applyBorder="1"/>
    <x:xf numFmtId="202" fontId="10" fillId="7" borderId="2" xfId="0" applyNumberFormat="1" applyFont="1" applyFill="1" applyBorder="1"/>
    <x:xf numFmtId="0" fontId="10" fillId="7" borderId="3" xfId="0" applyNumberFormat="1" applyFont="1" applyFill="1" applyBorder="1"/>
    <x:xf numFmtId="203" fontId="10" fillId="7" borderId="0" xfId="0" applyNumberFormat="1" applyFont="1" applyFill="1" applyBorder="1"/>
    <x:xf numFmtId="0" fontId="10" fillId="7" borderId="0" xfId="0" applyNumberFormat="1" applyFont="1" applyFill="1" applyBorder="1"/>
    <x:xf numFmtId="202" fontId="10" fillId="7" borderId="4" xfId="0" applyNumberFormat="1" applyFont="1" applyFill="1" applyBorder="1"/>
    <x:xf numFmtId="0" fontId="10" fillId="7" borderId="5" xfId="0" applyNumberFormat="1" applyFont="1" applyFill="1" applyBorder="1"/>
    <x:xf numFmtId="203" fontId="10" fillId="7" borderId="10" xfId="0" applyNumberFormat="1" applyFont="1" applyFill="1" applyBorder="1"/>
    <x:xf numFmtId="0" fontId="10" fillId="7" borderId="10" xfId="0" applyNumberFormat="1" applyFont="1" applyFill="1" applyBorder="1"/>
    <x:xf numFmtId="202" fontId="10" fillId="7" borderId="6" xfId="0" applyNumberFormat="1" applyFont="1" applyFill="1" applyBorder="1"/>
    <x:xf numFmtId="0" fontId="11" fillId="3" borderId="7" xfId="0" applyNumberFormat="1" applyFont="1" applyFill="1" applyBorder="1" applyAlignment="1">
      <x:alignment wrapText="1"/>
    </x:xf>
    <x:xf numFmtId="0" fontId="11" fillId="3" borderId="8" xfId="0" applyNumberFormat="1" applyFont="1" applyFill="1" applyBorder="1" applyAlignment="1">
      <x:alignment wrapText="1"/>
    </x:xf>
    <x:xf numFmtId="0" fontId="11" fillId="3" borderId="9" xfId="0" applyNumberFormat="1" applyFont="1" applyFill="1" applyBorder="1" applyAlignment="1">
      <x:alignment wrapText="1"/>
    </x:xf>
    <x:xf numFmtId="0" fontId="16" fillId="8" borderId="0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wrapText="1"/>
    </x:xf>
    <x:xf numFmtId="203" fontId="10" fillId="7" borderId="11" xfId="0" applyNumberFormat="1" applyFont="1" applyFill="1" applyBorder="1" applyAlignment="1">
      <x:alignment wrapText="1"/>
    </x:xf>
    <x:xf numFmtId="0" fontId="10" fillId="7" borderId="11" xfId="0" applyNumberFormat="1" applyFont="1" applyFill="1" applyBorder="1" applyAlignment="1">
      <x:alignment wrapText="1"/>
    </x:xf>
    <x:xf numFmtId="202" fontId="10" fillId="7" borderId="2" xfId="0" applyNumberFormat="1" applyFont="1" applyFill="1" applyBorder="1" applyAlignment="1">
      <x:alignment wrapText="1"/>
    </x:xf>
    <x:xf numFmtId="0" fontId="10" fillId="7" borderId="3" xfId="0" applyNumberFormat="1" applyFont="1" applyFill="1" applyBorder="1" applyAlignment="1">
      <x:alignment wrapText="1"/>
    </x:xf>
    <x:xf numFmtId="203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202" fontId="10" fillId="7" borderId="4" xfId="0" applyNumberFormat="1" applyFont="1" applyFill="1" applyBorder="1" applyAlignment="1">
      <x:alignment wrapText="1"/>
    </x:xf>
    <x:xf numFmtId="0" fontId="10" fillId="7" borderId="5" xfId="0" applyNumberFormat="1" applyFont="1" applyFill="1" applyBorder="1" applyAlignment="1">
      <x:alignment wrapText="1"/>
    </x:xf>
    <x:xf numFmtId="203" fontId="10" fillId="7" borderId="10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wrapText="1"/>
    </x:xf>
    <x:xf numFmtId="0" fontId="10" fillId="0" xfId="0" applyNumberFormat="1" applyFont="1" applyFill="1" applyBorder="0" applyAlignment="1">
      <x:alignment wrapText="1"/>
    </x:xf>
    <x:xf numFmtId="200" fontId="10" fillId="0" xfId="0" applyNumberFormat="1" applyFont="1" applyFill="1" applyBorder="0" applyAlignment="1">
      <x:alignment wrapText="1"/>
    </x:xf>
    <x:xf numFmtId="203" fontId="0" fillId="0" xfId="0" applyNumberFormat="1" applyFont="1" applyFill="1" applyBorder="0"/>
    <x:xf numFmtId="0" fontId="0" fillId="0" xfId="0" applyNumberFormat="1" applyFont="1" applyFill="1" applyBorder="0"/>
    <x:xf numFmtId="202" fontId="10" fillId="0" xfId="0" applyNumberFormat="1" applyFont="1" applyFill="1" applyBorder="0" applyAlignment="1">
      <x:alignment wrapText="1"/>
    </x:xf>
    <x:xf numFmtId="201" fontId="10" fillId="0" xfId="0" applyNumberFormat="1" applyFont="1" applyFill="1" applyBorder="0" applyAlignment="1">
      <x:alignment wrapText="1"/>
    </x:xf>
    <x:xf numFmtId="203" fontId="10" fillId="0" xfId="0" applyNumberFormat="1" applyFont="1" applyFill="1" applyBorder="0" applyAlignment="1">
      <x:alignment wrapText="1"/>
    </x:xf>
    <x:xf numFmtId="203" fontId="10" fillId="0" borderId="11" xfId="0" applyNumberFormat="1" applyFont="1" applyFill="1" applyBorder="1" applyAlignment="1">
      <x:alignment wrapText="1"/>
    </x:xf>
    <x:xf numFmtId="203" fontId="1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6e6cf09854731" /><Relationship Type="http://schemas.openxmlformats.org/officeDocument/2006/relationships/theme" Target="/xl/theme/theme1.xml" Id="R5e3271370a714ec0" /><Relationship Type="http://schemas.openxmlformats.org/officeDocument/2006/relationships/sharedStrings" Target="/xl/sharedStrings.xml" Id="R21d068846b3f49c9" /><Relationship Type="http://schemas.openxmlformats.org/officeDocument/2006/relationships/worksheet" Target="/xl/worksheets/sheet1.xml" Id="Rb9dc578d5ed1419f" /><Relationship Type="http://schemas.openxmlformats.org/officeDocument/2006/relationships/worksheet" Target="/xl/worksheets/sheet2.xml" Id="Rdd888de7180647ae" /><Relationship Type="http://schemas.openxmlformats.org/officeDocument/2006/relationships/worksheet" Target="/xl/worksheets/sheet3.xml" Id="R5520a6a1e9094617" /><Relationship Type="http://schemas.openxmlformats.org/officeDocument/2006/relationships/worksheet" Target="/xl/worksheets/sheet4.xml" Id="Red220c3f6db94bca" /><Relationship Type="http://schemas.openxmlformats.org/officeDocument/2006/relationships/worksheet" Target="/xl/worksheets/sheet5.xml" Id="R40cd652440124ae6" /><Relationship Type="http://schemas.openxmlformats.org/officeDocument/2006/relationships/worksheet" Target="/xl/worksheets/sheet6.xml" Id="R0319deacb56d4238" /><Relationship Type="http://schemas.openxmlformats.org/officeDocument/2006/relationships/worksheet" Target="/xl/worksheets/sheet7.xml" Id="Rc597dd01fa6f4fc3" /><Relationship Type="http://schemas.openxmlformats.org/officeDocument/2006/relationships/worksheet" Target="/xl/worksheets/sheet8.xml" Id="Rcb10ceca6eaa42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356e84c6694bbe" /><Relationship Type="http://schemas.openxmlformats.org/officeDocument/2006/relationships/chart" Target="/xl/drawings/charts/chart2.xml" Id="R3e13438e3d66411d" /><Relationship Type="http://schemas.openxmlformats.org/officeDocument/2006/relationships/chart" Target="/xl/drawings/charts/chart3.xml" Id="Ra2b6c4f15ee547d6" /><Relationship Type="http://schemas.openxmlformats.org/officeDocument/2006/relationships/chart" Target="/xl/drawings/charts/chart4.xml" Id="Rb5a22df35a6b4fbf" /><Relationship Type="http://schemas.openxmlformats.org/officeDocument/2006/relationships/chart" Target="/xl/drawings/charts/chart5.xml" Id="R8e93700a1a9f45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EBITDA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'Dashboard'!$B$19:$B$26</c:f>
              <c:strCache>
                <c:ptCount val="0"/>
              </c:strCache>
            </c:strRef>
          </c:cat>
          <c:val>
            <c:numRef>
              <c:f>'Dashboard'!$C$19:$C$26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'Dashboard'!$B$19:$B$26</c:f>
              <c:strCache>
                <c:ptCount val="0"/>
              </c:strCache>
            </c:strRef>
          </c:cat>
          <c:val>
            <c:numRef>
              <c:f>'Dashboard'!$D$19:$D$26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Debt vs EBITDA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 Debt</c:v>
          </c:tx>
          <c:marker>
            <c:symbol val="none"/>
          </c:marker>
          <c:cat>
            <c:strRef>
              <c:f>'Dashboard'!$G$19:$G$26</c:f>
              <c:strCache>
                <c:ptCount val="0"/>
              </c:strCache>
            </c:strRef>
          </c:cat>
          <c:val>
            <c:numRef>
              <c:f>'Dashboard'!$H$19:$H$26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'Dashboard'!$G$19:$G$26</c:f>
              <c:strCache>
                <c:ptCount val="0"/>
              </c:strCache>
            </c:strRef>
          </c:cat>
          <c:val>
            <c:numRef>
              <c:f>'Dashboard'!$I$19:$I$26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EBIT / Cash Interest Proxy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EBIT / Cash Interest Proxy</c:v>
          </c:tx>
          <c:marker>
            <c:symbol val="none"/>
          </c:marker>
          <c:cat>
            <c:strRef>
              <c:f>'Dashboard'!$B$37:$B$44</c:f>
              <c:strCache>
                <c:ptCount val="0"/>
              </c:strCache>
            </c:strRef>
          </c:cat>
          <c:val>
            <c:numRef>
              <c:f>'Dashboard'!$C$37:$C$44</c:f>
              <c:numCache>
                <c:formatCode>0.0x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Free Cash Flow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Free Cash Flow</c:v>
          </c:tx>
          <c:marker>
            <c:symbol val="none"/>
          </c:marker>
          <c:cat>
            <c:strRef>
              <c:f>'Dashboard'!$G$37:$G$44</c:f>
              <c:strCache>
                <c:ptCount val="0"/>
              </c:strCache>
            </c:strRef>
          </c:cat>
          <c:val>
            <c:numRef>
              <c:f>'Dashboard'!$H$37:$H$44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 - Risk Score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Risk Score</c:v>
          </c:tx>
          <c:cat>
            <c:strRef>
              <c:f>'Dashboard'!$B$54:$B$56</c:f>
              <c:strCache>
                <c:ptCount val="0"/>
              </c:strCache>
            </c:strRef>
          </c:cat>
          <c:val>
            <c:numRef>
              <c:f>'Dashboard'!$C$54:$C$56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356e84c6694bbe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13438e3d66411d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6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b6c4f15ee547d6"/>
        </a:graphicData>
      </a:graphic>
    </xdr:graphicFrame>
    <xdr:clientData/>
  </xdr:twoCellAnchor>
  <xdr:twoCellAnchor>
    <xdr:from>
      <xdr:col>6</xdr:col>
      <xdr:colOff>0</xdr:colOff>
      <xdr:row>35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a22df35a6b4fbf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12</xdr:col>
      <xdr:colOff>0</xdr:colOff>
      <xdr:row>68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93700a1a9f45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aa6e0b5e52b4a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30" hidden="0" customWidth="1"/>
    <x:col min="3" max="3" width="100" hidden="0" customWidth="1"/>
  </x:cols>
  <x:sheetData>
    <x:row r="2" ht="15" hidden="0" customHeight="1">
      <x:c r="B2" s="119" t="str">
        <x:v>Financial Risk Assessment &amp; Scenario Analysis Model</x:v>
      </x:c>
      <x:c r="C2" s="119" t="str">
        <x:v>Financial Risk Assessment &amp; Scenario Analysis Model</x:v>
      </x:c>
    </x:row>
    <x:row r="3" ht="15" hidden="0" customHeight="1">
      <x:c r="B3" s="128"/>
      <x:c r="C3" s="128"/>
    </x:row>
    <x:row r="4" ht="24" hidden="0" customHeight="1">
      <x:c r="B4" s="121" t="str">
        <x:v>Project objective</x:v>
      </x:c>
      <x:c r="C4" s="122" t="str">
        <x:v>Build a transparent Excel-based portfolio model that analyzes Apple Inc.'s public financial statements, calculates risk-relevant ratios, evaluates illustrative risk thresholds, and tests downside/stress scenarios.</x:v>
      </x:c>
    </x:row>
    <x:row r="5" ht="24" hidden="0" customHeight="1">
      <x:c r="B5" s="123" t="str">
        <x:v>Analytical framework</x:v>
      </x:c>
      <x:c r="C5" s="124" t="str">
        <x:v>Financial statement analysis, profitability/liquidity/leverage/debt-service/cash-flow ratios, rule-based risk flags, weighted risk score, scenario analysis, sensitivity analysis, and data-quality checks.</x:v>
      </x:c>
    </x:row>
    <x:row r="6" ht="15" hidden="0" customHeight="1">
      <x:c r="B6" s="123" t="str">
        <x:v>Data source</x:v>
      </x:c>
      <x:c r="C6" s="124" t="str">
        <x:v>Apple Inc. SEC Form 10-K filings for FY2025, FY2024, and FY2022; values are in USD millions. Source URLs are listed on Raw Data.</x:v>
      </x:c>
    </x:row>
    <x:row r="7" ht="24" hidden="0" customHeight="1">
      <x:c r="B7" s="123" t="str">
        <x:v>Methodology</x:v>
      </x:c>
      <x:c r="C7" s="124" t="str">
        <x:v>Historical actuals are linked from Raw Data. Forecast and scenario years are formula-driven from Assumptions. Ratios and flags are calculated from the Financial Statements sheet.</x:v>
      </x:c>
    </x:row>
    <x:row r="8" ht="24" hidden="0" customHeight="1">
      <x:c r="B8" s="123" t="str">
        <x:v>Key ratios</x:v>
      </x:c>
      <x:c r="C8" s="124" t="str">
        <x:v>Historical actuals are linked from Raw Data. Forecast and scenario years are formula-driven from Assumptions. Ratios and flags are calculated from the Financial Statements sheet. Projected balance-sheet items use simplified assumptions for educational scenario analysis, not management guidance or professional forecasting.</x:v>
      </x:c>
    </x:row>
    <x:row r="9" ht="24" hidden="0" customHeight="1">
      <x:c r="B9" s="123" t="str">
        <x:v>Scenario methodology</x:v>
      </x:c>
      <x:c r="C9" s="124" t="str">
        <x:v>Gross/EBITDA/EBIT/net margins, ROA, ROE, current ratio, quick ratio, debt/equity, debt/assets, net debt/EBITDA, total debt/EBITDA, EBIT / Cash Interest Proxy, EBITDA / Cash Interest Proxy, OCF/debt, FCF, and FCF/debt.</x:v>
      </x:c>
    </x:row>
    <x:row r="10" ht="24" hidden="0" customHeight="1">
      <x:c r="B10" s="123" t="str">
        <x:v>Risk scoring methodology</x:v>
      </x:c>
      <x:c r="C10" s="124" t="str">
        <x:v>Base, Downside, and Stress cases change revenue growth, EBITDA margin, cash-interest proxy, debt level, CapEx, operating cash flow margin, and current ratio.</x:v>
      </x:c>
    </x:row>
    <x:row r="11" ht="24" hidden="0" customHeight="1">
      <x:c r="B11" s="123" t="str">
        <x:v>Limitations</x:v>
      </x:c>
      <x:c r="C11" s="124" t="str">
        <x:v>Illustrative weights: Profitability 15%, Liquidity 20%, Leverage 25%, Debt Service 25%, Cash Flow 15%. Weighted score = Profitability x 15% + Liquidity x 20% + Leverage x 25% + Debt Service x 25% + Cash Flow x 15%. The output is not an official credit rating.</x:v>
      </x:c>
    </x:row>
    <x:row r="12" ht="24" hidden="0" customHeight="1">
      <x:c r="B12" s="123" t="str">
        <x:v>Disclaimer</x:v>
      </x:c>
      <x:c r="C12" s="124" t="str">
        <x:v>This is a compact educational model. It uses simplified projection assumptions and a cash-interest proxy where a clean standalone interest expense series was not available in the compact source statements. It does not perform professional underwriting, issuer due diligence, covenant analysis, capital structure modeling, rating-agency methodology, or structured finance/ABS collateral analysis.</x:v>
      </x:c>
    </x:row>
    <x:row r="13" ht="24" hidden="0" customHeight="1">
      <x:c r="B13" s="123" t="str">
        <x:v>How to use</x:v>
      </x:c>
      <x:c r="C13" s="124" t="str">
        <x:v>This is an educational financial risk assessment model and is not professional credit underwriting, investment advice, or a representation of JPMorgan's internal risk methodology.</x:v>
      </x:c>
    </x:row>
    <x:row r="14" ht="15" hidden="0" customHeight="1">
      <x:c r="B14" s="123" t="str">
        <x:v>Model status</x:v>
      </x:c>
      <x:c r="C14" s="124" t="str">
        <x:v>Formula-driven; data-quality and calculation checks are visible on Risk Assessment and Raw Data.</x:v>
      </x:c>
    </x:row>
    <x:row r="15" ht="15" hidden="0" customHeight="1">
      <x:c r="B15" s="123" t="str">
        <x:v>Currency/unit</x:v>
      </x:c>
      <x:c r="C15" s="124" t="str">
        <x:v>USD millions; annual fiscal years ended in September.</x:v>
      </x:c>
    </x:row>
    <x:row r="16" ht="24" hidden="0" customHeight="1">
      <x:c r="B16" s="125" t="str">
        <x:v>Company</x:v>
      </x:c>
      <x:c r="C16" s="126" t="str">
        <x:v>Apple Inc. (AAPL), selected because public annual statements provide a clean, recognizable dataset with revenue, debt, cash flow, liquidity, and capital structure metrics.</x:v>
      </x:c>
    </x:row>
    <x:row r="17" ht="15" hidden="0" customHeight="1">
      <x:c r="B17" s="128"/>
      <x:c r="C17" s="128"/>
    </x:row>
    <x:row r="18" ht="15" hidden="0" customHeight="1">
      <x:c r="B18" s="127" t="str">
        <x:v>Interview Concepts I Must Understand</x:v>
      </x:c>
      <x:c r="C18" s="127" t="str">
        <x:v>Interview Concepts I Must Understand</x:v>
      </x:c>
    </x:row>
    <x:row r="19" ht="15" hidden="0" customHeight="1">
      <x:c r="B19" s="121" t="str">
        <x:v>Credit risk</x:v>
      </x:c>
      <x:c r="C19" s="122" t="str">
        <x:v>The risk that a borrower or counterparty cannot meet promised payments on time or in full.</x:v>
      </x:c>
    </x:row>
    <x:row r="20" ht="15" hidden="0" customHeight="1">
      <x:c r="B20" s="123" t="str">
        <x:v>Financial risk analysis</x:v>
      </x:c>
      <x:c r="C20" s="124" t="str">
        <x:v>Using financial statements, ratios, cash-flow trends, and scenarios to judge resilience under normal and stressed conditions.</x:v>
      </x:c>
    </x:row>
    <x:row r="21" ht="24" hidden="0" customHeight="1">
      <x:c r="B21" s="123" t="str">
        <x:v>Underwriting</x:v>
      </x:c>
      <x:c r="C21" s="124" t="str">
        <x:v>A formal process of evaluating whether to provide credit or financing and on what terms. This project demonstrates analysis, not underwriting experience.</x:v>
      </x:c>
    </x:row>
    <x:row r="22" ht="24" hidden="0" customHeight="1">
      <x:c r="B22" s="123" t="str">
        <x:v>Structured finance</x:v>
      </x:c>
      <x:c r="C22" s="124" t="str">
        <x:v>Financing where repayment is often tied to specific assets, cash flows, priority waterfalls, or securitized pools rather than only a corporate borrower.</x:v>
      </x:c>
    </x:row>
    <x:row r="23" ht="15" hidden="0" customHeight="1">
      <x:c r="B23" s="123" t="str">
        <x:v>Asset-backed finance</x:v>
      </x:c>
      <x:c r="C23" s="124" t="str">
        <x:v>Lending or securities backed by financial or operating assets such as receivables, loans, leases, or equipment.</x:v>
      </x:c>
    </x:row>
    <x:row r="24" ht="15" hidden="0" customHeight="1">
      <x:c r="B24" s="123" t="str">
        <x:v>ABS</x:v>
      </x:c>
      <x:c r="C24" s="124" t="str">
        <x:v>Asset-backed security: a bond or note backed by a pool of assets whose cash flows support investor payments.</x:v>
      </x:c>
    </x:row>
    <x:row r="25" ht="15" hidden="0" customHeight="1">
      <x:c r="B25" s="123" t="str">
        <x:v>SPV</x:v>
      </x:c>
      <x:c r="C25" s="124" t="str">
        <x:v>Special purpose vehicle: a legal entity created to hold assets and separate them from the seller/originator.</x:v>
      </x:c>
    </x:row>
    <x:row r="26" ht="15" hidden="0" customHeight="1">
      <x:c r="B26" s="123" t="str">
        <x:v>Securitization</x:v>
      </x:c>
      <x:c r="C26" s="124" t="str">
        <x:v>Pooling assets and issuing securities backed by those assets' expected cash flows.</x:v>
      </x:c>
    </x:row>
    <x:row r="27" ht="15" hidden="0" customHeight="1">
      <x:c r="B27" s="123" t="str">
        <x:v>Leverage</x:v>
      </x:c>
      <x:c r="C27" s="124" t="str">
        <x:v>Use of debt relative to earnings, assets, or equity. Higher leverage can amplify risk if earnings or cash flow weaken.</x:v>
      </x:c>
    </x:row>
    <x:row r="28" ht="15" hidden="0" customHeight="1">
      <x:c r="B28" s="123" t="str">
        <x:v>Debt service / coverage ratios</x:v>
      </x:c>
      <x:c r="C28" s="124" t="str">
        <x:v>A measure of how comfortably operating earnings or cash flow can cover required interest or debt payments.</x:v>
      </x:c>
    </x:row>
    <x:row r="29" ht="15" hidden="0" customHeight="1">
      <x:c r="B29" s="123" t="str">
        <x:v>Free cash flow</x:v>
      </x:c>
      <x:c r="C29" s="124" t="str">
        <x:v>Cash from operations after capital expenditure; it matters because debt is ultimately serviced with cash, not accounting profit.</x:v>
      </x:c>
    </x:row>
    <x:row r="30" ht="24" hidden="0" customHeight="1">
      <x:c r="B30" s="123" t="str">
        <x:v>High EBITDA with risk</x:v>
      </x:c>
      <x:c r="C30" s="124" t="str">
        <x:v>A company can have high EBITDA but still face risk from heavy debt, working-capital pressure, high capex, weak liquidity, or declining trends.</x:v>
      </x:c>
    </x:row>
    <x:row r="31" ht="15" hidden="0" customHeight="1">
      <x:c r="B31" s="123" t="str">
        <x:v>Downside scenario</x:v>
      </x:c>
      <x:c r="C31" s="124" t="str">
        <x:v>A downside case reduces revenue/margin/cash flow or raises debt/interest cost to see whether risk indicators deteriorate.</x:v>
      </x:c>
    </x:row>
    <x:row r="32" ht="15" hidden="0" customHeight="1">
      <x:c r="B32" s="125" t="str">
        <x:v>Risk analyst approach</x:v>
      </x:c>
      <x:c r="C32" s="126" t="str">
        <x:v>Identify strengths and weaknesses, test trends and scenarios, verify data quality, explain drivers, and communicate risks clearly.</x:v>
      </x:c>
    </x:row>
  </x:sheetData>
  <x:mergeCells>
    <x:mergeCell ref="B2:C2"/>
    <x:mergeCell ref="B18:C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82" hidden="0" customWidth="1"/>
  </x:cols>
  <x:sheetData>
    <x:row r="1" ht="15" hidden="0" customHeight="1">
      <x:c r="A1" s="119" t="str">
        <x:v>Raw Data - Apple Inc. Historical Actuals</x:v>
      </x:c>
      <x:c r="B1" s="119" t="str">
        <x:v>Raw Data - Apple Inc. Historical Actuals</x:v>
      </x:c>
      <x:c r="C1" s="119" t="str">
        <x:v>Raw Data - Apple Inc. Historical Actuals</x:v>
      </x:c>
      <x:c r="D1" s="119" t="str">
        <x:v>Raw Data - Apple Inc. Historical Actuals</x:v>
      </x:c>
      <x:c r="E1" s="119" t="str">
        <x:v>Raw Data - Apple Inc. Historical Actuals</x:v>
      </x:c>
      <x:c r="F1" s="119" t="str">
        <x:v>Raw Data - Apple Inc. Historical Actuals</x:v>
      </x:c>
      <x:c r="G1" s="119" t="str">
        <x:v>Raw Data - Apple Inc. Historical Actuals</x:v>
      </x:c>
      <x:c r="H1" s="119" t="str">
        <x:v>Raw Data - Apple Inc. Historical Actuals</x:v>
      </x:c>
    </x:row>
    <x:row r="2" ht="15" hidden="0" customHeight="1">
      <x:c r="A2" s="128"/>
      <x:c r="B2" s="128"/>
      <x:c r="C2" s="128"/>
      <x:c r="D2" s="128"/>
      <x:c r="E2" s="128"/>
      <x:c r="F2" s="128"/>
      <x:c r="G2" s="128"/>
      <x:c r="H2" s="128"/>
    </x:row>
    <x:row r="3" ht="15" hidden="0" customHeight="1">
      <x:c r="A3" s="129" t="str">
        <x:v>Metric</x:v>
      </x:c>
      <x:c r="B3" s="130" t="str">
        <x:v>2021A</x:v>
      </x:c>
      <x:c r="C3" s="130" t="str">
        <x:v>2022A</x:v>
      </x:c>
      <x:c r="D3" s="130" t="str">
        <x:v>2023A</x:v>
      </x:c>
      <x:c r="E3" s="130" t="str">
        <x:v>2024A</x:v>
      </x:c>
      <x:c r="F3" s="130" t="str">
        <x:v>2025A</x:v>
      </x:c>
      <x:c r="G3" s="130" t="str">
        <x:v>Source/Type</x:v>
      </x:c>
      <x:c r="H3" s="131" t="str">
        <x:v>Notes</x:v>
      </x:c>
    </x:row>
    <x:row r="4" ht="15" hidden="0" customHeight="1">
      <x:c r="A4" s="142" t="str">
        <x:v>Revenue</x:v>
      </x:c>
      <x:c r="B4" s="143" t="n">
        <x:v>365817</x:v>
      </x:c>
      <x:c r="C4" s="143" t="n">
        <x:v>394328</x:v>
      </x:c>
      <x:c r="D4" s="143" t="n">
        <x:v>383285</x:v>
      </x:c>
      <x:c r="E4" s="143" t="n">
        <x:v>391035</x:v>
      </x:c>
      <x:c r="F4" s="143" t="n">
        <x:v>416161</x:v>
      </x:c>
      <x:c r="G4" s="128" t="str">
        <x:v>10-K actual</x:v>
      </x:c>
      <x:c r="H4" s="124" t="str">
        <x:v>Net sales</x:v>
      </x:c>
    </x:row>
    <x:row r="5" ht="15" hidden="0" customHeight="1">
      <x:c r="A5" s="142" t="str">
        <x:v>COGS</x:v>
      </x:c>
      <x:c r="B5" s="143" t="n">
        <x:v>212981</x:v>
      </x:c>
      <x:c r="C5" s="143" t="n">
        <x:v>223546</x:v>
      </x:c>
      <x:c r="D5" s="143" t="n">
        <x:v>214137</x:v>
      </x:c>
      <x:c r="E5" s="143" t="n">
        <x:v>210352</x:v>
      </x:c>
      <x:c r="F5" s="143" t="n">
        <x:v>220960</x:v>
      </x:c>
      <x:c r="G5" s="128" t="str">
        <x:v>10-K actual</x:v>
      </x:c>
      <x:c r="H5" s="124" t="str">
        <x:v>Total cost of sales</x:v>
      </x:c>
    </x:row>
    <x:row r="6" ht="15" hidden="0" customHeight="1">
      <x:c r="A6" s="142" t="str">
        <x:v>Gross Profit</x:v>
      </x:c>
      <x:c r="B6" s="143" t="n">
        <x:f>B4-B5</x:f>
        <x:v>152836</x:v>
      </x:c>
      <x:c r="C6" s="143" t="n">
        <x:f>C4-C5</x:f>
        <x:v>170782</x:v>
      </x:c>
      <x:c r="D6" s="143" t="n">
        <x:f>D4-D5</x:f>
        <x:v>169148</x:v>
      </x:c>
      <x:c r="E6" s="143" t="n">
        <x:f>E4-E5</x:f>
        <x:v>180683</x:v>
      </x:c>
      <x:c r="F6" s="143" t="n">
        <x:f>F4-F5</x:f>
        <x:v>195201</x:v>
      </x:c>
      <x:c r="G6" s="128" t="str">
        <x:v>Formula</x:v>
      </x:c>
      <x:c r="H6" s="124" t="str">
        <x:v>Revenue - COGS</x:v>
      </x:c>
    </x:row>
    <x:row r="7" ht="15" hidden="0" customHeight="1">
      <x:c r="A7" s="142" t="str">
        <x:v>Operating Expenses</x:v>
      </x:c>
      <x:c r="B7" s="143" t="n">
        <x:v>43887</x:v>
      </x:c>
      <x:c r="C7" s="143" t="n">
        <x:v>51345</x:v>
      </x:c>
      <x:c r="D7" s="143" t="n">
        <x:v>54847</x:v>
      </x:c>
      <x:c r="E7" s="143" t="n">
        <x:v>57467</x:v>
      </x:c>
      <x:c r="F7" s="143" t="n">
        <x:v>62151</x:v>
      </x:c>
      <x:c r="G7" s="128" t="str">
        <x:v>10-K actual</x:v>
      </x:c>
      <x:c r="H7" s="124" t="str">
        <x:v>R&amp;D + SG&amp;A</x:v>
      </x:c>
    </x:row>
    <x:row r="8" ht="15" hidden="0" customHeight="1">
      <x:c r="A8" s="142" t="str">
        <x:v>Depreciation &amp; Amortization</x:v>
      </x:c>
      <x:c r="B8" s="143" t="n">
        <x:v>11284</x:v>
      </x:c>
      <x:c r="C8" s="143" t="n">
        <x:v>11104</x:v>
      </x:c>
      <x:c r="D8" s="143" t="n">
        <x:v>11519</x:v>
      </x:c>
      <x:c r="E8" s="143" t="n">
        <x:v>11445</x:v>
      </x:c>
      <x:c r="F8" s="143" t="n">
        <x:v>11698</x:v>
      </x:c>
      <x:c r="G8" s="128" t="str">
        <x:v>10-K actual</x:v>
      </x:c>
      <x:c r="H8" s="124" t="str">
        <x:v>Used to estimate EBITDA as EBIT + D&amp;A</x:v>
      </x:c>
    </x:row>
    <x:row r="9" ht="15" hidden="0" customHeight="1">
      <x:c r="A9" s="142" t="str">
        <x:v>EBITDA</x:v>
      </x:c>
      <x:c r="B9" s="143" t="n">
        <x:f>B10+B8</x:f>
        <x:v>120233</x:v>
      </x:c>
      <x:c r="C9" s="143" t="n">
        <x:f>C10+C8</x:f>
        <x:v>130541</x:v>
      </x:c>
      <x:c r="D9" s="143" t="n">
        <x:f>D10+D8</x:f>
        <x:v>125820</x:v>
      </x:c>
      <x:c r="E9" s="143" t="n">
        <x:f>E10+E8</x:f>
        <x:v>134661</x:v>
      </x:c>
      <x:c r="F9" s="143" t="n">
        <x:f>F10+F8</x:f>
        <x:v>144748</x:v>
      </x:c>
      <x:c r="G9" s="128" t="str">
        <x:v>Formula</x:v>
      </x:c>
      <x:c r="H9" s="124" t="str">
        <x:v>EBIT + D&amp;A; not a GAAP line item</x:v>
      </x:c>
    </x:row>
    <x:row r="10" ht="15" hidden="0" customHeight="1">
      <x:c r="A10" s="142" t="str">
        <x:v>EBIT</x:v>
      </x:c>
      <x:c r="B10" s="143" t="n">
        <x:v>108949</x:v>
      </x:c>
      <x:c r="C10" s="143" t="n">
        <x:v>119437</x:v>
      </x:c>
      <x:c r="D10" s="143" t="n">
        <x:v>114301</x:v>
      </x:c>
      <x:c r="E10" s="143" t="n">
        <x:v>123216</x:v>
      </x:c>
      <x:c r="F10" s="143" t="n">
        <x:v>133050</x:v>
      </x:c>
      <x:c r="G10" s="128" t="str">
        <x:v>10-K actual</x:v>
      </x:c>
      <x:c r="H10" s="124" t="str">
        <x:v>Operating income</x:v>
      </x:c>
    </x:row>
    <x:row r="11" ht="24" hidden="0" customHeight="1">
      <x:c r="A11" s="142" t="str">
        <x:v>Cash Interest Proxy</x:v>
      </x:c>
      <x:c r="B11" s="143" t="n">
        <x:v>2687</x:v>
      </x:c>
      <x:c r="C11" s="143" t="n">
        <x:v>2865</x:v>
      </x:c>
      <x:c r="D11" s="143" t="n">
        <x:v>3933</x:v>
      </x:c>
      <x:c r="E11" s="143" t="n">
        <x:v>3000</x:v>
      </x:c>
      <x:c r="F11" s="143" t="n">
        <x:v>2600</x:v>
      </x:c>
      <x:c r="G11" s="128" t="str">
        <x:v>10-K/proxy</x:v>
      </x:c>
      <x:c r="H11" s="124" t="str">
        <x:v>Cash paid for interest where available; FY2024-FY2025 use disclosed near-term interest/payment proxy. This is not a conventional GAAP interest expense series.</x:v>
      </x:c>
    </x:row>
    <x:row r="12" ht="15" hidden="0" customHeight="1">
      <x:c r="A12" s="142" t="str">
        <x:v>Net Income</x:v>
      </x:c>
      <x:c r="B12" s="143" t="n">
        <x:v>94680</x:v>
      </x:c>
      <x:c r="C12" s="143" t="n">
        <x:v>99803</x:v>
      </x:c>
      <x:c r="D12" s="143" t="n">
        <x:v>96995</x:v>
      </x:c>
      <x:c r="E12" s="143" t="n">
        <x:v>93736</x:v>
      </x:c>
      <x:c r="F12" s="143" t="n">
        <x:v>112010</x:v>
      </x:c>
      <x:c r="G12" s="128" t="str">
        <x:v>10-K actual</x:v>
      </x:c>
      <x:c r="H12" s="124" t="str">
        <x:v>Net income</x:v>
      </x:c>
    </x:row>
    <x:row r="13" ht="15" hidden="0" customHeight="1">
      <x:c r="A13" s="142" t="str">
        <x:v>Cash</x:v>
      </x:c>
      <x:c r="B13" s="143" t="n">
        <x:v>34940</x:v>
      </x:c>
      <x:c r="C13" s="143" t="n">
        <x:v>23646</x:v>
      </x:c>
      <x:c r="D13" s="143" t="n">
        <x:v>29965</x:v>
      </x:c>
      <x:c r="E13" s="143" t="n">
        <x:v>29943</x:v>
      </x:c>
      <x:c r="F13" s="143" t="n">
        <x:v>35934</x:v>
      </x:c>
      <x:c r="G13" s="128" t="str">
        <x:v>10-K actual</x:v>
      </x:c>
      <x:c r="H13" s="124" t="str">
        <x:v>Cash and cash equivalents</x:v>
      </x:c>
    </x:row>
    <x:row r="14" ht="15" hidden="0" customHeight="1">
      <x:c r="A14" s="142" t="str">
        <x:v>Current Assets</x:v>
      </x:c>
      <x:c r="B14" s="143" t="n">
        <x:v>134836</x:v>
      </x:c>
      <x:c r="C14" s="143" t="n">
        <x:v>135405</x:v>
      </x:c>
      <x:c r="D14" s="143" t="n">
        <x:v>143566</x:v>
      </x:c>
      <x:c r="E14" s="143" t="n">
        <x:v>152987</x:v>
      </x:c>
      <x:c r="F14" s="143" t="n">
        <x:v>147957</x:v>
      </x:c>
      <x:c r="G14" s="128" t="str">
        <x:v>10-K actual</x:v>
      </x:c>
      <x:c r="H14" s="124" t="str">
        <x:v>Total current assets</x:v>
      </x:c>
    </x:row>
    <x:row r="15" ht="15" hidden="0" customHeight="1">
      <x:c r="A15" s="142" t="str">
        <x:v>Inventory</x:v>
      </x:c>
      <x:c r="B15" s="143" t="n">
        <x:v>6580</x:v>
      </x:c>
      <x:c r="C15" s="143" t="n">
        <x:v>4946</x:v>
      </x:c>
      <x:c r="D15" s="143" t="n">
        <x:v>6331</x:v>
      </x:c>
      <x:c r="E15" s="143" t="n">
        <x:v>7286</x:v>
      </x:c>
      <x:c r="F15" s="143" t="n">
        <x:v>5718</x:v>
      </x:c>
      <x:c r="G15" s="128" t="str">
        <x:v>10-K actual</x:v>
      </x:c>
      <x:c r="H15" s="124" t="str">
        <x:v>Used for quick ratio</x:v>
      </x:c>
    </x:row>
    <x:row r="16" ht="15" hidden="0" customHeight="1">
      <x:c r="A16" s="142" t="str">
        <x:v>Current Liabilities</x:v>
      </x:c>
      <x:c r="B16" s="143" t="n">
        <x:v>125481</x:v>
      </x:c>
      <x:c r="C16" s="143" t="n">
        <x:v>153982</x:v>
      </x:c>
      <x:c r="D16" s="143" t="n">
        <x:v>145308</x:v>
      </x:c>
      <x:c r="E16" s="143" t="n">
        <x:v>176392</x:v>
      </x:c>
      <x:c r="F16" s="143" t="n">
        <x:v>165631</x:v>
      </x:c>
      <x:c r="G16" s="128" t="str">
        <x:v>10-K actual</x:v>
      </x:c>
      <x:c r="H16" s="124" t="str">
        <x:v>Total current liabilities</x:v>
      </x:c>
    </x:row>
    <x:row r="17" ht="15" hidden="0" customHeight="1">
      <x:c r="A17" s="142" t="str">
        <x:v>Commercial Paper</x:v>
      </x:c>
      <x:c r="B17" s="143" t="n">
        <x:v>6000</x:v>
      </x:c>
      <x:c r="C17" s="143" t="n">
        <x:v>9982</x:v>
      </x:c>
      <x:c r="D17" s="143" t="n">
        <x:v>5985</x:v>
      </x:c>
      <x:c r="E17" s="143" t="n">
        <x:v>9967</x:v>
      </x:c>
      <x:c r="F17" s="143" t="n">
        <x:v>7979</x:v>
      </x:c>
      <x:c r="G17" s="128" t="str">
        <x:v>10-K actual</x:v>
      </x:c>
      <x:c r="H17" s="124" t="str">
        <x:v>Short-term debt</x:v>
      </x:c>
    </x:row>
    <x:row r="18" ht="15" hidden="0" customHeight="1">
      <x:c r="A18" s="142" t="str">
        <x:v>Current Term Debt</x:v>
      </x:c>
      <x:c r="B18" s="143" t="n">
        <x:v>9613</x:v>
      </x:c>
      <x:c r="C18" s="143" t="n">
        <x:v>11128</x:v>
      </x:c>
      <x:c r="D18" s="143" t="n">
        <x:v>9822</x:v>
      </x:c>
      <x:c r="E18" s="143" t="n">
        <x:v>10912</x:v>
      </x:c>
      <x:c r="F18" s="143" t="n">
        <x:v>12350</x:v>
      </x:c>
      <x:c r="G18" s="128" t="str">
        <x:v>10-K actual</x:v>
      </x:c>
      <x:c r="H18" s="124" t="str">
        <x:v>Current portion of term debt</x:v>
      </x:c>
    </x:row>
    <x:row r="19" ht="15" hidden="0" customHeight="1">
      <x:c r="A19" s="142" t="str">
        <x:v>Long-Term Debt</x:v>
      </x:c>
      <x:c r="B19" s="143" t="n">
        <x:v>109106</x:v>
      </x:c>
      <x:c r="C19" s="143" t="n">
        <x:v>98959</x:v>
      </x:c>
      <x:c r="D19" s="143" t="n">
        <x:v>95281</x:v>
      </x:c>
      <x:c r="E19" s="143" t="n">
        <x:v>85750</x:v>
      </x:c>
      <x:c r="F19" s="143" t="n">
        <x:v>78328</x:v>
      </x:c>
      <x:c r="G19" s="128" t="str">
        <x:v>10-K actual</x:v>
      </x:c>
      <x:c r="H19" s="124" t="str">
        <x:v>Non-current portion of term debt</x:v>
      </x:c>
    </x:row>
    <x:row r="20" ht="15" hidden="0" customHeight="1">
      <x:c r="A20" s="142" t="str">
        <x:v>Total Debt</x:v>
      </x:c>
      <x:c r="B20" s="143" t="n">
        <x:f>B17+B18+B19</x:f>
        <x:v>124719</x:v>
      </x:c>
      <x:c r="C20" s="143" t="n">
        <x:f>C17+C18+C19</x:f>
        <x:v>120069</x:v>
      </x:c>
      <x:c r="D20" s="143" t="n">
        <x:f>D17+D18+D19</x:f>
        <x:v>111088</x:v>
      </x:c>
      <x:c r="E20" s="143" t="n">
        <x:f>E17+E18+E19</x:f>
        <x:v>106629</x:v>
      </x:c>
      <x:c r="F20" s="143" t="n">
        <x:f>F17+F18+F19</x:f>
        <x:v>98657</x:v>
      </x:c>
      <x:c r="G20" s="128" t="str">
        <x:v>Formula</x:v>
      </x:c>
      <x:c r="H20" s="124" t="str">
        <x:v>Commercial paper + current term debt + long-term debt</x:v>
      </x:c>
    </x:row>
    <x:row r="21" ht="15" hidden="0" customHeight="1">
      <x:c r="A21" s="142" t="str">
        <x:v>Total Equity</x:v>
      </x:c>
      <x:c r="B21" s="143" t="n">
        <x:v>63090</x:v>
      </x:c>
      <x:c r="C21" s="143" t="n">
        <x:v>50672</x:v>
      </x:c>
      <x:c r="D21" s="143" t="n">
        <x:v>62146</x:v>
      </x:c>
      <x:c r="E21" s="143" t="n">
        <x:v>56950</x:v>
      </x:c>
      <x:c r="F21" s="143" t="n">
        <x:v>73733</x:v>
      </x:c>
      <x:c r="G21" s="128" t="str">
        <x:v>10-K actual</x:v>
      </x:c>
      <x:c r="H21" s="124" t="str">
        <x:v>Total shareholders' equity</x:v>
      </x:c>
    </x:row>
    <x:row r="22" ht="15" hidden="0" customHeight="1">
      <x:c r="A22" s="142" t="str">
        <x:v>Total Assets</x:v>
      </x:c>
      <x:c r="B22" s="143" t="n">
        <x:v>351002</x:v>
      </x:c>
      <x:c r="C22" s="143" t="n">
        <x:v>352755</x:v>
      </x:c>
      <x:c r="D22" s="143" t="n">
        <x:v>352583</x:v>
      </x:c>
      <x:c r="E22" s="143" t="n">
        <x:v>364980</x:v>
      </x:c>
      <x:c r="F22" s="143" t="n">
        <x:v>359241</x:v>
      </x:c>
      <x:c r="G22" s="128" t="str">
        <x:v>10-K actual</x:v>
      </x:c>
      <x:c r="H22" s="124" t="str">
        <x:v>Total assets</x:v>
      </x:c>
    </x:row>
    <x:row r="23" ht="15" hidden="0" customHeight="1">
      <x:c r="A23" s="142" t="str">
        <x:v>Operating Cash Flow</x:v>
      </x:c>
      <x:c r="B23" s="143" t="n">
        <x:v>104038</x:v>
      </x:c>
      <x:c r="C23" s="143" t="n">
        <x:v>122151</x:v>
      </x:c>
      <x:c r="D23" s="143" t="n">
        <x:v>110543</x:v>
      </x:c>
      <x:c r="E23" s="143" t="n">
        <x:v>118254</x:v>
      </x:c>
      <x:c r="F23" s="143" t="n">
        <x:v>111482</x:v>
      </x:c>
      <x:c r="G23" s="128" t="str">
        <x:v>10-K actual</x:v>
      </x:c>
      <x:c r="H23" s="124" t="str">
        <x:v>Cash generated by operating activities</x:v>
      </x:c>
    </x:row>
    <x:row r="24" ht="15" hidden="0" customHeight="1">
      <x:c r="A24" s="142" t="str">
        <x:v>Capital Expenditure</x:v>
      </x:c>
      <x:c r="B24" s="143" t="n">
        <x:v>-11085</x:v>
      </x:c>
      <x:c r="C24" s="143" t="n">
        <x:v>-10708</x:v>
      </x:c>
      <x:c r="D24" s="143" t="n">
        <x:v>-10959</x:v>
      </x:c>
      <x:c r="E24" s="143" t="n">
        <x:v>-9447</x:v>
      </x:c>
      <x:c r="F24" s="143" t="n">
        <x:v>-12715</x:v>
      </x:c>
      <x:c r="G24" s="128" t="str">
        <x:v>10-K actual</x:v>
      </x:c>
      <x:c r="H24" s="124" t="str">
        <x:v>Payments for acquisition of property, plant and equipment</x:v>
      </x:c>
    </x:row>
    <x:row r="25" ht="15" hidden="0" customHeight="1">
      <x:c r="A25" s="144" t="str">
        <x:v>Free Cash Flow</x:v>
      </x:c>
      <x:c r="B25" s="145" t="n">
        <x:f>B23+B24</x:f>
        <x:v>92953</x:v>
      </x:c>
      <x:c r="C25" s="145" t="n">
        <x:f>C23+C24</x:f>
        <x:v>111443</x:v>
      </x:c>
      <x:c r="D25" s="145" t="n">
        <x:f>D23+D24</x:f>
        <x:v>99584</x:v>
      </x:c>
      <x:c r="E25" s="145" t="n">
        <x:f>E23+E24</x:f>
        <x:v>108807</x:v>
      </x:c>
      <x:c r="F25" s="145" t="n">
        <x:f>F23+F24</x:f>
        <x:v>98767</x:v>
      </x:c>
      <x:c r="G25" s="136" t="str">
        <x:v>Formula</x:v>
      </x:c>
      <x:c r="H25" s="126" t="str">
        <x:v>Operating cash flow + capex</x:v>
      </x:c>
    </x:row>
    <x:row r="26" ht="15" hidden="0" customHeight="1">
      <x:c r="A26" s="128"/>
      <x:c r="B26" s="128"/>
      <x:c r="C26" s="128"/>
      <x:c r="D26" s="128"/>
      <x:c r="E26" s="128"/>
      <x:c r="F26" s="128"/>
      <x:c r="G26" s="128"/>
      <x:c r="H26" s="128"/>
    </x:row>
    <x:row r="27" ht="15" hidden="0" customHeight="1">
      <x:c r="A27" s="127" t="str">
        <x:v>Source URLs and Data Quality Checks</x:v>
      </x:c>
      <x:c r="B27" s="127" t="str">
        <x:v>Source URLs and Data Quality Checks</x:v>
      </x:c>
      <x:c r="C27" s="127" t="str">
        <x:v>Source URLs and Data Quality Checks</x:v>
      </x:c>
      <x:c r="D27" s="127" t="str">
        <x:v>Source URLs and Data Quality Checks</x:v>
      </x:c>
      <x:c r="E27" s="127" t="str">
        <x:v>Source URLs and Data Quality Checks</x:v>
      </x:c>
      <x:c r="F27" s="127" t="str">
        <x:v>Source URLs and Data Quality Checks</x:v>
      </x:c>
      <x:c r="G27" s="127" t="str">
        <x:v>Source URLs and Data Quality Checks</x:v>
      </x:c>
      <x:c r="H27" s="127" t="str">
        <x:v>Source URLs and Data Quality Checks</x:v>
      </x:c>
    </x:row>
    <x:row r="28" ht="15" hidden="0" customHeight="1">
      <x:c r="A28" s="129" t="str">
        <x:v>Source</x:v>
      </x:c>
      <x:c r="B28" s="130" t="str">
        <x:v>URL</x:v>
      </x:c>
      <x:c r="C28" s="130" t="str">
        <x:v>Usage</x:v>
      </x:c>
      <x:c r="D28" s="130" t="str">
        <x:v>Check</x:v>
      </x:c>
      <x:c r="E28" s="130" t="str">
        <x:v>Result</x:v>
      </x:c>
      <x:c r="F28" s="130" t="str">
        <x:v>Notes</x:v>
      </x:c>
      <x:c r="G28" s="130" t="str"/>
      <x:c r="H28" s="131" t="str"/>
    </x:row>
    <x:row r="29" ht="72" hidden="0" customHeight="1">
      <x:c r="A29" s="146" t="str">
        <x:v>Apple FY2025 10-K</x:v>
      </x:c>
      <x:c r="B29" s="128" t="str">
        <x:v>https://www.sec.gov/Archives/edgar/data/320193/000032019325000079/aapl-20250927.htm</x:v>
      </x:c>
      <x:c r="C29" s="128" t="str">
        <x:v>FY2025-FY2023 statements, debt note, cash flow</x:v>
      </x:c>
      <x:c r="D29" s="128" t="str">
        <x:v>Missing values</x:v>
      </x:c>
      <x:c r="E29" s="128" t="str">
        <x:v>OK</x:v>
      </x:c>
      <x:c r="F29" s="128" t="str">
        <x:v>Formula-derived rows intentionally blank in raw entry and calculated in workbook</x:v>
      </x:c>
      <x:c r="G29" s="128" t="str"/>
      <x:c r="H29" s="124" t="str"/>
    </x:row>
    <x:row r="30" ht="72" hidden="0" customHeight="1">
      <x:c r="A30" s="146" t="str">
        <x:v>Apple FY2024 10-K</x:v>
      </x:c>
      <x:c r="B30" s="128" t="str">
        <x:v>https://www.sec.gov/Archives/edgar/data/320193/000032019324000123/aapl-20240928.htm</x:v>
      </x:c>
      <x:c r="C30" s="128" t="str">
        <x:v>FY2024-FY2022 cross-checks</x:v>
      </x:c>
      <x:c r="D30" s="128" t="str">
        <x:v>Period consistency</x:v>
      </x:c>
      <x:c r="E30" s="128" t="str">
        <x:v>OK</x:v>
      </x:c>
      <x:c r="F30" s="128" t="str">
        <x:v>Annual fiscal years ended in September</x:v>
      </x:c>
      <x:c r="G30" s="128" t="str"/>
      <x:c r="H30" s="124" t="str"/>
    </x:row>
    <x:row r="31" ht="72" hidden="0" customHeight="1">
      <x:c r="A31" s="146" t="str">
        <x:v>Apple FY2022 10-K</x:v>
      </x:c>
      <x:c r="B31" s="128" t="str">
        <x:v>https://www.sec.gov/Archives/edgar/data/320193/000032019322000108/aapl-20220924.htm</x:v>
      </x:c>
      <x:c r="C31" s="128" t="str">
        <x:v>Cash interest proxy / debt service</x:v>
      </x:c>
      <x:c r="D31" s="128" t="str">
        <x:v>Negative values</x:v>
      </x:c>
      <x:c r="E31" s="128" t="str">
        <x:v>OK</x:v>
      </x:c>
      <x:c r="F31" s="128" t="str">
        <x:v>Apple does not present a clean standalone interest expense series in the compact statements used here; this model uses a cash-interest / near-term payment proxy for educational coverage analysis.</x:v>
      </x:c>
      <x:c r="G31" s="128" t="str"/>
      <x:c r="H31" s="124" t="str"/>
    </x:row>
    <x:row r="32" ht="156" hidden="0" customHeight="1">
      <x:c r="A32" s="146" t="str">
        <x:v>Model note</x:v>
      </x:c>
      <x:c r="B32" s="128" t="str">
        <x:v>N/A</x:v>
      </x:c>
      <x:c r="C32" s="128" t="str">
        <x:v>Cash interest proxy / debt service</x:v>
      </x:c>
      <x:c r="D32" s="128" t="str">
        <x:v>Proxy disclosure</x:v>
      </x:c>
      <x:c r="E32" s="128" t="str">
        <x:v>OK</x:v>
      </x:c>
      <x:c r="F32" s="128" t="str">
        <x:v>Apple does not present a clean standalone interest expense series in these compact statements; cash-interest / near-term payment proxies are used for educational coverage ratios.</x:v>
      </x:c>
      <x:c r="G32" s="128" t="str"/>
      <x:c r="H32" s="124" t="str"/>
    </x:row>
    <x:row r="33" ht="48" hidden="0" customHeight="1">
      <x:c r="A33" s="146" t="str">
        <x:v>Formula check</x:v>
      </x:c>
      <x:c r="B33" s="128" t="str">
        <x:v>N/A</x:v>
      </x:c>
      <x:c r="C33" s="128" t="str">
        <x:v>Calculated rows</x:v>
      </x:c>
      <x:c r="D33" s="128" t="str">
        <x:v>Gross profit, EBITDA, total debt, FCF</x:v>
      </x:c>
      <x:c r="E33" s="128" t="str">
        <x:v>OK</x:v>
      </x:c>
      <x:c r="F33" s="128" t="str">
        <x:v>Rows are formula-driven and used downstream.</x:v>
      </x:c>
      <x:c r="G33" s="128" t="str"/>
      <x:c r="H33" s="124" t="str"/>
    </x:row>
    <x:row r="34" ht="48" hidden="0" customHeight="1">
      <x:c r="A34" s="146" t="str">
        <x:v>Reconciliation check</x:v>
      </x:c>
      <x:c r="B34" s="128" t="str">
        <x:v>N/A</x:v>
      </x:c>
      <x:c r="C34" s="128" t="str">
        <x:v>Debt</x:v>
      </x:c>
      <x:c r="D34" s="128" t="str">
        <x:v>Commercial paper + current term debt + long-term debt = total debt</x:v>
      </x:c>
      <x:c r="E34" s="128" t="str">
        <x:v>OK</x:v>
      </x:c>
      <x:c r="F34" s="128" t="str">
        <x:v>Visible formula row.</x:v>
      </x:c>
      <x:c r="G34" s="128" t="str"/>
      <x:c r="H34" s="124" t="str"/>
    </x:row>
    <x:row r="35" ht="60" hidden="0" customHeight="1">
      <x:c r="A35" s="147" t="str">
        <x:v>Educational limitation</x:v>
      </x:c>
      <x:c r="B35" s="136" t="str">
        <x:v>N/A</x:v>
      </x:c>
      <x:c r="C35" s="136" t="str">
        <x:v>Portfolio use only</x:v>
      </x:c>
      <x:c r="D35" s="136" t="str">
        <x:v>Underwriting disclaimer</x:v>
      </x:c>
      <x:c r="E35" s="136" t="str">
        <x:v>OK</x:v>
      </x:c>
      <x:c r="F35" s="136" t="str">
        <x:v>Not a credit rating, not JPMorgan work, not professional underwriting.</x:v>
      </x:c>
      <x:c r="G35" s="136" t="str"/>
      <x:c r="H35" s="126" t="str"/>
    </x:row>
  </x:sheetData>
  <x:mergeCells>
    <x:mergeCell ref="A1:H1"/>
    <x:mergeCell ref="A27:H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90" hidden="0" customWidth="1"/>
  </x:cols>
  <x:sheetData>
    <x:row r="1" ht="15" hidden="0" customHeight="1">
      <x:c r="A1" s="119" t="str">
        <x:v>Assumptions - Scenario Drivers and Risk Thresholds</x:v>
      </x:c>
      <x:c r="B1" s="119" t="str">
        <x:v>Assumptions - Scenario Drivers and Risk Thresholds</x:v>
      </x:c>
      <x:c r="C1" s="119" t="str">
        <x:v>Assumptions - Scenario Drivers and Risk Thresholds</x:v>
      </x:c>
      <x:c r="D1" s="119" t="str">
        <x:v>Assumptions - Scenario Drivers and Risk Thresholds</x:v>
      </x:c>
      <x:c r="E1" s="119" t="str">
        <x:v>Assumptions - Scenario Drivers and Risk Thresholds</x:v>
      </x:c>
      <x:c r="F1" s="119" t="str">
        <x:v>Assumptions - Scenario Drivers and Risk Thresholds</x:v>
      </x:c>
    </x:row>
    <x:row r="2" ht="15" hidden="0" customHeight="1">
      <x:c r="A2" s="128"/>
      <x:c r="B2" s="128"/>
      <x:c r="C2" s="128"/>
      <x:c r="D2" s="128"/>
      <x:c r="E2" s="128"/>
      <x:c r="F2" s="128"/>
    </x:row>
    <x:row r="3" ht="15" hidden="0" customHeight="1">
      <x:c r="A3" s="128" t="str">
        <x:v>Editable input legend</x:v>
      </x:c>
      <x:c r="B3" s="128" t="str">
        <x:v>Blue font / yellow fill</x:v>
      </x:c>
      <x:c r="C3" s="128"/>
      <x:c r="D3" s="128"/>
      <x:c r="E3" s="128"/>
      <x:c r="F3" s="128"/>
    </x:row>
    <x:row r="4" ht="15" hidden="0" customHeight="1">
      <x:c r="A4" s="128" t="str">
        <x:v>Active Scenario</x:v>
      </x:c>
      <x:c r="B4" s="163" t="str">
        <x:v>Base Case</x:v>
      </x:c>
      <x:c r="C4" s="128"/>
      <x:c r="D4" s="128"/>
      <x:c r="E4" s="128"/>
      <x:c r="F4" s="128"/>
    </x:row>
    <x:row r="5" ht="15" hidden="0" customHeight="1">
      <x:c r="A5" s="128"/>
      <x:c r="B5" s="128"/>
      <x:c r="C5" s="128"/>
      <x:c r="D5" s="128"/>
      <x:c r="E5" s="128"/>
      <x:c r="F5" s="128"/>
    </x:row>
    <x:row r="6" ht="15" hidden="0" customHeight="1">
      <x:c r="A6" s="127" t="str">
        <x:v>Scenario Assumptions (Illustrative Portfolio-Model Inputs)</x:v>
      </x:c>
      <x:c r="B6" s="127" t="str">
        <x:v>Scenario Assumptions (Illustrative Portfolio-Model Inputs)</x:v>
      </x:c>
      <x:c r="C6" s="127" t="str">
        <x:v>Scenario Assumptions (Illustrative Portfolio-Model Inputs)</x:v>
      </x:c>
      <x:c r="D6" s="127" t="str">
        <x:v>Scenario Assumptions (Illustrative Portfolio-Model Inputs)</x:v>
      </x:c>
      <x:c r="E6" s="127" t="str">
        <x:v>Scenario Assumptions (Illustrative Portfolio-Model Inputs)</x:v>
      </x:c>
      <x:c r="F6" s="127" t="str">
        <x:v>Scenario Assumptions (Illustrative Portfolio-Model Inputs)</x:v>
      </x:c>
    </x:row>
    <x:row r="7" ht="15" hidden="0" customHeight="1">
      <x:c r="A7" s="129" t="str">
        <x:v>Driver</x:v>
      </x:c>
      <x:c r="B7" s="130" t="str">
        <x:v>Base Case</x:v>
      </x:c>
      <x:c r="C7" s="130" t="str">
        <x:v>Downside Case</x:v>
      </x:c>
      <x:c r="D7" s="130" t="str">
        <x:v>Stress Case</x:v>
      </x:c>
      <x:c r="E7" s="130" t="str">
        <x:v>Selected</x:v>
      </x:c>
      <x:c r="F7" s="131" t="str">
        <x:v>Rationale</x:v>
      </x:c>
    </x:row>
    <x:row r="8" ht="15" hidden="0" customHeight="1">
      <x:c r="A8" s="146" t="str">
        <x:v>Revenue Growth</x:v>
      </x:c>
      <x:c r="B8" s="164" t="n">
        <x:v>0.04</x:v>
      </x:c>
      <x:c r="C8" s="165" t="n">
        <x:v>-0.03</x:v>
      </x:c>
      <x:c r="D8" s="166" t="n">
        <x:v>-0.1</x:v>
      </x:c>
      <x:c r="E8" s="167" t="n">
        <x:f>IF($B$4="Base Case",B8,IF($B$4="Downside Case",C8,D8))</x:f>
        <x:v>0.04</x:v>
      </x:c>
      <x:c r="F8" s="124" t="str">
        <x:v>Tests top-line resilience under normal, weaker, and stressed demand.</x:v>
      </x:c>
    </x:row>
    <x:row r="9" ht="15" hidden="0" customHeight="1">
      <x:c r="A9" s="146" t="str">
        <x:v>EBITDA Margin</x:v>
      </x:c>
      <x:c r="B9" s="168" t="n">
        <x:v>0.348</x:v>
      </x:c>
      <x:c r="C9" s="169" t="n">
        <x:v>0.3</x:v>
      </x:c>
      <x:c r="D9" s="170" t="n">
        <x:v>0.24</x:v>
      </x:c>
      <x:c r="E9" s="167" t="n">
        <x:f>IF($B$4="Base Case",B9,IF($B$4="Downside Case",C9,D9))</x:f>
        <x:v>0.348</x:v>
      </x:c>
      <x:c r="F9" s="124" t="str">
        <x:v>Margin stress translates sales pressure into earnings pressure.</x:v>
      </x:c>
    </x:row>
    <x:row r="10" ht="15" hidden="0" customHeight="1">
      <x:c r="A10" s="146" t="str">
        <x:v>Cash Interest Proxy</x:v>
      </x:c>
      <x:c r="B10" s="171" t="n">
        <x:v>2600</x:v>
      </x:c>
      <x:c r="C10" s="172" t="n">
        <x:v>3500</x:v>
      </x:c>
      <x:c r="D10" s="173" t="n">
        <x:v>5000</x:v>
      </x:c>
      <x:c r="E10" s="143" t="n">
        <x:f>IF($B$4="Base Case",B10,IF($B$4="Downside Case",C10,D10))</x:f>
        <x:v>2600</x:v>
      </x:c>
      <x:c r="F10" s="124" t="str">
        <x:v>Raises financing cost in downside/stress cases.</x:v>
      </x:c>
    </x:row>
    <x:row r="11" ht="15" hidden="0" customHeight="1">
      <x:c r="A11" s="146" t="str">
        <x:v>Debt Change</x:v>
      </x:c>
      <x:c r="B11" s="168" t="n">
        <x:v>0</x:v>
      </x:c>
      <x:c r="C11" s="169" t="n">
        <x:v>0.1</x:v>
      </x:c>
      <x:c r="D11" s="170" t="n">
        <x:v>0.25</x:v>
      </x:c>
      <x:c r="E11" s="167" t="n">
        <x:f>IF($B$4="Base Case",B11,IF($B$4="Downside Case",C11,D11))</x:f>
        <x:v>0</x:v>
      </x:c>
      <x:c r="F11" s="124" t="str">
        <x:v>Assumes incremental borrowing or slower deleveraging in stress.</x:v>
      </x:c>
    </x:row>
    <x:row r="12" ht="15" hidden="0" customHeight="1">
      <x:c r="A12" s="146" t="str">
        <x:v>CapEx % of Revenue</x:v>
      </x:c>
      <x:c r="B12" s="168" t="n">
        <x:v>-0.03</x:v>
      </x:c>
      <x:c r="C12" s="169" t="n">
        <x:v>-0.035</x:v>
      </x:c>
      <x:c r="D12" s="170" t="n">
        <x:v>-0.04</x:v>
      </x:c>
      <x:c r="E12" s="167" t="n">
        <x:f>IF($B$4="Base Case",B12,IF($B$4="Downside Case",C12,D12))</x:f>
        <x:v>-0.03</x:v>
      </x:c>
      <x:c r="F12" s="124" t="str">
        <x:v>CapEx uses cash-flow sign convention; negative means cash outflow.</x:v>
      </x:c>
    </x:row>
    <x:row r="13" ht="15" hidden="0" customHeight="1">
      <x:c r="A13" s="146" t="str">
        <x:v>OCF Margin</x:v>
      </x:c>
      <x:c r="B13" s="168" t="n">
        <x:v>0.268</x:v>
      </x:c>
      <x:c r="C13" s="169" t="n">
        <x:v>0.23</x:v>
      </x:c>
      <x:c r="D13" s="170" t="n">
        <x:v>0.18</x:v>
      </x:c>
      <x:c r="E13" s="167" t="n">
        <x:f>IF($B$4="Base Case",B13,IF($B$4="Downside Case",C13,D13))</x:f>
        <x:v>0.268</x:v>
      </x:c>
      <x:c r="F13" s="124" t="str">
        <x:v>Operating cash flow stress from lower profitability/working-capital pressure.</x:v>
      </x:c>
    </x:row>
    <x:row r="14" ht="15" hidden="0" customHeight="1">
      <x:c r="A14" s="146" t="str">
        <x:v>Current Ratio</x:v>
      </x:c>
      <x:c r="B14" s="168" t="n">
        <x:v>0.95</x:v>
      </x:c>
      <x:c r="C14" s="169" t="n">
        <x:v>0.85</x:v>
      </x:c>
      <x:c r="D14" s="170" t="n">
        <x:v>0.7</x:v>
      </x:c>
      <x:c r="E14" s="167" t="n">
        <x:f>IF($B$4="Base Case",B14,IF($B$4="Downside Case",C14,D14))</x:f>
        <x:v>0.95</x:v>
      </x:c>
      <x:c r="F14" s="124" t="str">
        <x:v>Liquidity weakens as stress increases.</x:v>
      </x:c>
    </x:row>
    <x:row r="15" ht="15" hidden="0" customHeight="1">
      <x:c r="A15" s="146" t="str">
        <x:v>Gross Margin</x:v>
      </x:c>
      <x:c r="B15" s="168" t="n">
        <x:v>0.469</x:v>
      </x:c>
      <x:c r="C15" s="169" t="n">
        <x:v>0.445</x:v>
      </x:c>
      <x:c r="D15" s="170" t="n">
        <x:v>0.41</x:v>
      </x:c>
      <x:c r="E15" s="167" t="n">
        <x:f>IF($B$4="Base Case",B15,IF($B$4="Downside Case",C15,D15))</x:f>
        <x:v>0.469</x:v>
      </x:c>
      <x:c r="F15" s="124" t="str">
        <x:v>Keeps projected COGS tied to revenue.</x:v>
      </x:c>
    </x:row>
    <x:row r="16" ht="15" hidden="0" customHeight="1">
      <x:c r="A16" s="146" t="str">
        <x:v>D&amp;A % of Revenue</x:v>
      </x:c>
      <x:c r="B16" s="168" t="n">
        <x:v>0.028</x:v>
      </x:c>
      <x:c r="C16" s="169" t="n">
        <x:v>0.029</x:v>
      </x:c>
      <x:c r="D16" s="170" t="n">
        <x:v>0.031</x:v>
      </x:c>
      <x:c r="E16" s="167" t="n">
        <x:f>IF($B$4="Base Case",B16,IF($B$4="Downside Case",C16,D16))</x:f>
        <x:v>0.028</x:v>
      </x:c>
      <x:c r="F16" s="124" t="str">
        <x:v>Used to bridge EBITDA to EBIT.</x:v>
      </x:c>
    </x:row>
    <x:row r="17" ht="15" hidden="0" customHeight="1">
      <x:c r="A17" s="147" t="str">
        <x:v>Tax Rate</x:v>
      </x:c>
      <x:c r="B17" s="174" t="n">
        <x:v>0.16</x:v>
      </x:c>
      <x:c r="C17" s="175" t="n">
        <x:v>0.18</x:v>
      </x:c>
      <x:c r="D17" s="176" t="n">
        <x:v>0.2</x:v>
      </x:c>
      <x:c r="E17" s="177" t="n">
        <x:f>IF($B$4="Base Case",B17,IF($B$4="Downside Case",C17,D17))</x:f>
        <x:v>0.16</x:v>
      </x:c>
      <x:c r="F17" s="126" t="str">
        <x:v>Simplified effective tax assumption.</x:v>
      </x:c>
    </x:row>
    <x:row r="18" ht="15" hidden="0" customHeight="1">
      <x:c r="A18" s="128"/>
      <x:c r="B18" s="128"/>
      <x:c r="C18" s="128"/>
      <x:c r="D18" s="128"/>
      <x:c r="E18" s="128"/>
      <x:c r="F18" s="128"/>
    </x:row>
    <x:row r="19" ht="15" hidden="0" customHeight="1">
      <x:c r="A19" s="128"/>
      <x:c r="B19" s="128"/>
      <x:c r="C19" s="128"/>
      <x:c r="D19" s="128"/>
      <x:c r="E19" s="128"/>
      <x:c r="F19" s="128"/>
    </x:row>
    <x:row r="20" ht="15" hidden="0" customHeight="1">
      <x:c r="A20" s="127" t="str">
        <x:v>Illustrative Risk Thresholds</x:v>
      </x:c>
      <x:c r="B20" s="127" t="str">
        <x:v>Illustrative Risk Thresholds</x:v>
      </x:c>
      <x:c r="C20" s="127" t="str">
        <x:v>Illustrative Risk Thresholds</x:v>
      </x:c>
      <x:c r="D20" s="127" t="str">
        <x:v>Illustrative Risk Thresholds</x:v>
      </x:c>
      <x:c r="E20" s="127" t="str">
        <x:v>Illustrative Risk Thresholds</x:v>
      </x:c>
      <x:c r="F20" s="127" t="str">
        <x:v>Illustrative Risk Thresholds</x:v>
      </x:c>
    </x:row>
    <x:row r="21" ht="24" hidden="0" customHeight="1">
      <x:c r="A21" s="129" t="str">
        <x:v>Metric</x:v>
      </x:c>
      <x:c r="B21" s="130" t="str">
        <x:v>Strong</x:v>
      </x:c>
      <x:c r="C21" s="130" t="str">
        <x:v>Moderate</x:v>
      </x:c>
      <x:c r="D21" s="130" t="str">
        <x:v>Elevated</x:v>
      </x:c>
      <x:c r="E21" s="130" t="str">
        <x:v>Why this threshold is used</x:v>
      </x:c>
      <x:c r="F21" s="131" t="str">
        <x:v>Important caveat</x:v>
      </x:c>
    </x:row>
    <x:row r="22" ht="48" hidden="0" customHeight="1">
      <x:c r="A22" s="146" t="str">
        <x:v>EBITDA Margin</x:v>
      </x:c>
      <x:c r="B22" s="128" t="str">
        <x:v>&gt;=25%</x:v>
      </x:c>
      <x:c r="C22" s="128" t="str">
        <x:v>15%-25%</x:v>
      </x:c>
      <x:c r="D22" s="128" t="str">
        <x:v>&lt;15%</x:v>
      </x:c>
      <x:c r="E22" s="128" t="str">
        <x:v>Simple profitability resilience screen for a mature large-cap operating company.</x:v>
      </x:c>
      <x:c r="F22" s="124" t="str">
        <x:v>Illustrative only; not rating-agency criteria.</x:v>
      </x:c>
    </x:row>
    <x:row r="23" ht="60" hidden="0" customHeight="1">
      <x:c r="A23" s="146" t="str">
        <x:v>Current Ratio</x:v>
      </x:c>
      <x:c r="B23" s="128" t="str">
        <x:v>&gt;=1.25x</x:v>
      </x:c>
      <x:c r="C23" s="128" t="str">
        <x:v>1.00x-1.25x</x:v>
      </x:c>
      <x:c r="D23" s="128" t="str">
        <x:v>&lt;1.00x</x:v>
      </x:c>
      <x:c r="E23" s="128" t="str">
        <x:v>Current assets should ideally cover short-term liabilities; below 1.0x deserves explanation.</x:v>
      </x:c>
      <x:c r="F23" s="124" t="str">
        <x:v>Apple holds liquid securities not fully captured by cash alone.</x:v>
      </x:c>
    </x:row>
    <x:row r="24" ht="48" hidden="0" customHeight="1">
      <x:c r="A24" s="146" t="str">
        <x:v>Net Debt / EBITDA</x:v>
      </x:c>
      <x:c r="B24" s="128" t="str">
        <x:v>&lt;=0.5x</x:v>
      </x:c>
      <x:c r="C24" s="128" t="str">
        <x:v>0.5x-1.5x</x:v>
      </x:c>
      <x:c r="D24" s="128" t="str">
        <x:v>&gt;1.5x</x:v>
      </x:c>
      <x:c r="E24" s="128" t="str">
        <x:v>Lower net leverage provides more cushion against earnings decline.</x:v>
      </x:c>
      <x:c r="F24" s="124" t="str">
        <x:v>Company-specific cash investment policy matters.</x:v>
      </x:c>
    </x:row>
    <x:row r="25" ht="48" hidden="0" customHeight="1">
      <x:c r="A25" s="146" t="str">
        <x:v>Total Debt / EBITDA</x:v>
      </x:c>
      <x:c r="B25" s="128" t="str">
        <x:v>&lt;=1.0x</x:v>
      </x:c>
      <x:c r="C25" s="128" t="str">
        <x:v>1.0x-2.0x</x:v>
      </x:c>
      <x:c r="D25" s="128" t="str">
        <x:v>&gt;2.0x</x:v>
      </x:c>
      <x:c r="E25" s="128" t="str">
        <x:v>Debt relative to operating earnings is a core leverage screen.</x:v>
      </x:c>
      <x:c r="F25" s="124" t="str">
        <x:v>Thresholds vary by industry and business stability.</x:v>
      </x:c>
    </x:row>
    <x:row r="26" ht="48" hidden="0" customHeight="1">
      <x:c r="A26" s="146" t="str">
        <x:v>EBIT / Cash Interest Proxy</x:v>
      </x:c>
      <x:c r="B26" s="128" t="str">
        <x:v>&gt;=8.0x</x:v>
      </x:c>
      <x:c r="C26" s="128" t="str">
        <x:v>4.0x-8.0x</x:v>
      </x:c>
      <x:c r="D26" s="128" t="str">
        <x:v>&lt;4.0x</x:v>
      </x:c>
      <x:c r="E26" s="128" t="str">
        <x:v>Earnings should comfortably cover interest in normal and stressed cases.</x:v>
      </x:c>
      <x:c r="F26" s="124" t="str">
        <x:v>Uses cash-interest/proxy line in this educational model.</x:v>
      </x:c>
    </x:row>
    <x:row r="27" ht="48" hidden="0" customHeight="1">
      <x:c r="A27" s="146" t="str">
        <x:v>FCF / Debt</x:v>
      </x:c>
      <x:c r="B27" s="128" t="str">
        <x:v>&gt;=50%</x:v>
      </x:c>
      <x:c r="C27" s="128" t="str">
        <x:v>25%-50%</x:v>
      </x:c>
      <x:c r="D27" s="128" t="str">
        <x:v>&lt;25%</x:v>
      </x:c>
      <x:c r="E27" s="128" t="str">
        <x:v>Free cash flow relative to debt indicates repayment capacity over time.</x:v>
      </x:c>
      <x:c r="F27" s="124" t="str">
        <x:v>FCF can be volatile due to working capital and capex timing.</x:v>
      </x:c>
    </x:row>
    <x:row r="28" ht="60" hidden="0" customHeight="1">
      <x:c r="A28" s="147" t="str">
        <x:v>Trend Risk</x:v>
      </x:c>
      <x:c r="B28" s="136" t="str">
        <x:v>Improving/stable</x:v>
      </x:c>
      <x:c r="C28" s="136" t="str">
        <x:v>Mixed</x:v>
      </x:c>
      <x:c r="D28" s="136" t="str">
        <x:v>Deteriorating</x:v>
      </x:c>
      <x:c r="E28" s="136" t="str">
        <x:v>Direction matters because weakening ratios can matter before absolute thresholds fail.</x:v>
      </x:c>
      <x:c r="F28" s="126" t="str">
        <x:v>Trend review is qualitative but data-driven.</x:v>
      </x:c>
    </x:row>
    <x:row r="29" ht="15" hidden="0" customHeight="1">
      <x:c r="A29" s="128"/>
      <x:c r="B29" s="128"/>
      <x:c r="C29" s="128"/>
      <x:c r="D29" s="128"/>
      <x:c r="E29" s="128"/>
      <x:c r="F29" s="128"/>
    </x:row>
    <x:row r="30" ht="15" hidden="0" customHeight="1">
      <x:c r="A30" s="128"/>
      <x:c r="B30" s="128"/>
      <x:c r="C30" s="128"/>
      <x:c r="D30" s="128"/>
      <x:c r="E30" s="128"/>
      <x:c r="F30" s="128"/>
    </x:row>
    <x:row r="31" ht="15" hidden="0" customHeight="1">
      <x:c r="A31" s="127" t="str">
        <x:v>Risk Score Weights</x:v>
      </x:c>
      <x:c r="B31" s="127" t="str">
        <x:v>Risk Score Weights</x:v>
      </x:c>
      <x:c r="C31" s="127" t="str">
        <x:v>Risk Score Weights</x:v>
      </x:c>
      <x:c r="D31" s="127" t="str">
        <x:v>Risk Score Weights</x:v>
      </x:c>
      <x:c r="E31" s="127" t="str">
        <x:v>Risk Score Weights</x:v>
      </x:c>
      <x:c r="F31" s="127" t="str">
        <x:v>Risk Score Weights</x:v>
      </x:c>
    </x:row>
    <x:row r="32" ht="15" hidden="0" customHeight="1">
      <x:c r="A32" s="129" t="str">
        <x:v>Category</x:v>
      </x:c>
      <x:c r="B32" s="130" t="str">
        <x:v>Weight</x:v>
      </x:c>
      <x:c r="C32" s="131" t="str">
        <x:v>Use</x:v>
      </x:c>
      <x:c r="D32" s="128"/>
      <x:c r="E32" s="128"/>
      <x:c r="F32" s="128"/>
    </x:row>
    <x:row r="33" ht="15" hidden="0" customHeight="1">
      <x:c r="A33" s="146" t="str">
        <x:v>Profitability</x:v>
      </x:c>
      <x:c r="B33" s="167" t="n">
        <x:v>0.15</x:v>
      </x:c>
      <x:c r="C33" s="124" t="str">
        <x:v>EBITDA margin</x:v>
      </x:c>
      <x:c r="D33" s="128"/>
      <x:c r="E33" s="128"/>
      <x:c r="F33" s="128"/>
    </x:row>
    <x:row r="34" ht="15" hidden="0" customHeight="1">
      <x:c r="A34" s="146" t="str">
        <x:v>Liquidity</x:v>
      </x:c>
      <x:c r="B34" s="167" t="n">
        <x:v>0.2</x:v>
      </x:c>
      <x:c r="C34" s="124" t="str">
        <x:v>Current ratio</x:v>
      </x:c>
      <x:c r="D34" s="128"/>
      <x:c r="E34" s="128"/>
      <x:c r="F34" s="128"/>
    </x:row>
    <x:row r="35" ht="24" hidden="0" customHeight="1">
      <x:c r="A35" s="146" t="str">
        <x:v>Leverage</x:v>
      </x:c>
      <x:c r="B35" s="167" t="n">
        <x:v>0.25</x:v>
      </x:c>
      <x:c r="C35" s="124" t="str">
        <x:v>Net debt/EBITDA and total debt/EBITDA</x:v>
      </x:c>
      <x:c r="D35" s="128"/>
      <x:c r="E35" s="128"/>
      <x:c r="F35" s="128"/>
    </x:row>
    <x:row r="36" ht="15" hidden="0" customHeight="1">
      <x:c r="A36" s="146" t="str">
        <x:v>Debt Service</x:v>
      </x:c>
      <x:c r="B36" s="167" t="n">
        <x:v>0.25</x:v>
      </x:c>
      <x:c r="C36" s="124" t="str">
        <x:v>EBIT / Cash Interest Proxy</x:v>
      </x:c>
      <x:c r="D36" s="128"/>
      <x:c r="E36" s="128"/>
      <x:c r="F36" s="128"/>
    </x:row>
    <x:row r="37" ht="15" hidden="0" customHeight="1">
      <x:c r="A37" s="147" t="str">
        <x:v>Cash Flow</x:v>
      </x:c>
      <x:c r="B37" s="177" t="n">
        <x:v>0.15</x:v>
      </x:c>
      <x:c r="C37" s="126" t="str">
        <x:v>FCF/debt</x:v>
      </x:c>
      <x:c r="D37" s="128"/>
      <x:c r="E37" s="128"/>
      <x:c r="F37" s="128"/>
    </x:row>
  </x:sheetData>
  <x:mergeCells>
    <x:mergeCell ref="A1:F1"/>
    <x:mergeCell ref="A6:F6"/>
    <x:mergeCell ref="A20:F20"/>
    <x:mergeCell ref="A31:F31"/>
  </x:mergeCells>
  <x:dataValidations count="1">
    <x:dataValidation type="list" sqref="B4">
      <x:formula1>"Base Case,Downside Case,Stress Case"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</x:cols>
  <x:sheetData>
    <x:row r="1" ht="15" hidden="0" customHeight="1">
      <x:c r="A1" s="119" t="str">
        <x:v>Financial Statements - Historical Actuals and Formula-Driven Projections</x:v>
      </x:c>
      <x:c r="B1" s="119" t="str">
        <x:v>Financial Statements - Historical Actuals and Formula-Driven Projections</x:v>
      </x:c>
      <x:c r="C1" s="119" t="str">
        <x:v>Financial Statements - Historical Actuals and Formula-Driven Projections</x:v>
      </x:c>
      <x:c r="D1" s="119" t="str">
        <x:v>Financial Statements - Historical Actuals and Formula-Driven Projections</x:v>
      </x:c>
      <x:c r="E1" s="119" t="str">
        <x:v>Financial Statements - Historical Actuals and Formula-Driven Projections</x:v>
      </x:c>
      <x:c r="F1" s="119" t="str">
        <x:v>Financial Statements - Historical Actuals and Formula-Driven Projections</x:v>
      </x:c>
      <x:c r="G1" s="119" t="str">
        <x:v>Financial Statements - Historical Actuals and Formula-Driven Projections</x:v>
      </x:c>
      <x:c r="H1" s="119" t="str">
        <x:v>Financial Statements - Historical Actuals and Formula-Driven Projections</x:v>
      </x:c>
      <x:c r="I1" s="119" t="str">
        <x:v>Financial Statements - Historical Actuals and Formula-Driven Projections</x:v>
      </x:c>
      <x:c r="J1" s="119" t="str">
        <x:v>Financial Statements - Historical Actuals and Formula-Driven Projections</x:v>
      </x:c>
    </x:row>
    <x:row r="2" ht="15" hidden="0" customHeight="1">
      <x:c r="A2" s="128"/>
      <x:c r="B2" s="128"/>
      <x:c r="C2" s="128"/>
      <x:c r="D2" s="128"/>
      <x:c r="E2" s="128"/>
      <x:c r="F2" s="128"/>
      <x:c r="G2" s="128"/>
      <x:c r="H2" s="128"/>
      <x:c r="I2" s="128"/>
      <x:c r="J2" s="128"/>
    </x:row>
    <x:row r="3" ht="15" hidden="0" customHeight="1">
      <x:c r="A3" s="129" t="str">
        <x:v>Line Item</x:v>
      </x:c>
      <x:c r="B3" s="130" t="str">
        <x:v>2021A</x:v>
      </x:c>
      <x:c r="C3" s="130" t="str">
        <x:v>2022A</x:v>
      </x:c>
      <x:c r="D3" s="130" t="str">
        <x:v>2023A</x:v>
      </x:c>
      <x:c r="E3" s="130" t="str">
        <x:v>2024A</x:v>
      </x:c>
      <x:c r="F3" s="130" t="str">
        <x:v>2025A</x:v>
      </x:c>
      <x:c r="G3" s="178" t="str">
        <x:v>2026E</x:v>
      </x:c>
      <x:c r="H3" s="178" t="str">
        <x:v>2027E</x:v>
      </x:c>
      <x:c r="I3" s="178" t="str">
        <x:v>2028E</x:v>
      </x:c>
      <x:c r="J3" s="131" t="str">
        <x:v>Formula / Driver</x:v>
      </x:c>
    </x:row>
    <x:row r="4" ht="15" hidden="0" customHeight="1">
      <x:c r="A4" s="142" t="str">
        <x:v>Revenue</x:v>
      </x:c>
      <x:c r="B4" s="143" t="n">
        <x:f>'Raw Data'!B4</x:f>
        <x:v>365817</x:v>
      </x:c>
      <x:c r="C4" s="143" t="n">
        <x:f>'Raw Data'!C4</x:f>
        <x:v>394328</x:v>
      </x:c>
      <x:c r="D4" s="143" t="n">
        <x:f>'Raw Data'!D4</x:f>
        <x:v>383285</x:v>
      </x:c>
      <x:c r="E4" s="143" t="n">
        <x:f>'Raw Data'!E4</x:f>
        <x:v>391035</x:v>
      </x:c>
      <x:c r="F4" s="143" t="n">
        <x:f>'Raw Data'!F4</x:f>
        <x:v>416161</x:v>
      </x:c>
      <x:c r="G4" s="182" t="n">
        <x:f>F4*(1+'Assumptions'!$E$8)</x:f>
        <x:v>432807.44</x:v>
      </x:c>
      <x:c r="H4" s="182" t="n">
        <x:f>G4*(1+'Assumptions'!$E$8)</x:f>
        <x:v>450119.7376</x:v>
      </x:c>
      <x:c r="I4" s="182" t="n">
        <x:f>H4*(1+'Assumptions'!$E$8)</x:f>
        <x:v>468124.52710400004</x:v>
      </x:c>
      <x:c r="J4" s="124" t="str">
        <x:v>Raw/projected growth</x:v>
      </x:c>
    </x:row>
    <x:row r="5" ht="15" hidden="0" customHeight="1">
      <x:c r="A5" s="142" t="str">
        <x:v>COGS</x:v>
      </x:c>
      <x:c r="B5" s="143" t="n">
        <x:f>'Raw Data'!B5</x:f>
        <x:v>212981</x:v>
      </x:c>
      <x:c r="C5" s="143" t="n">
        <x:f>'Raw Data'!C5</x:f>
        <x:v>223546</x:v>
      </x:c>
      <x:c r="D5" s="143" t="n">
        <x:f>'Raw Data'!D5</x:f>
        <x:v>214137</x:v>
      </x:c>
      <x:c r="E5" s="143" t="n">
        <x:f>'Raw Data'!E5</x:f>
        <x:v>210352</x:v>
      </x:c>
      <x:c r="F5" s="143" t="n">
        <x:f>'Raw Data'!F5</x:f>
        <x:v>220960</x:v>
      </x:c>
      <x:c r="G5" s="182" t="n">
        <x:f>G4-G6</x:f>
        <x:v>229820.75064</x:v>
      </x:c>
      <x:c r="H5" s="182" t="n">
        <x:f>H4-H6</x:f>
        <x:v>239013.58066560002</x:v>
      </x:c>
      <x:c r="I5" s="182" t="n">
        <x:f>I4-I6</x:f>
        <x:v>248574.12389222404</x:v>
      </x:c>
      <x:c r="J5" s="124" t="str">
        <x:v>Revenue - gross profit</x:v>
      </x:c>
    </x:row>
    <x:row r="6" ht="15" hidden="0" customHeight="1">
      <x:c r="A6" s="142" t="str">
        <x:v>Gross Profit</x:v>
      </x:c>
      <x:c r="B6" s="143" t="n">
        <x:f>B4-B5</x:f>
        <x:v>152836</x:v>
      </x:c>
      <x:c r="C6" s="143" t="n">
        <x:f>C4-C5</x:f>
        <x:v>170782</x:v>
      </x:c>
      <x:c r="D6" s="143" t="n">
        <x:f>D4-D5</x:f>
        <x:v>169148</x:v>
      </x:c>
      <x:c r="E6" s="143" t="n">
        <x:f>E4-E5</x:f>
        <x:v>180683</x:v>
      </x:c>
      <x:c r="F6" s="143" t="n">
        <x:f>F4-F5</x:f>
        <x:v>195201</x:v>
      </x:c>
      <x:c r="G6" s="182" t="n">
        <x:f>G4*'Assumptions'!$E$15</x:f>
        <x:v>202986.68936</x:v>
      </x:c>
      <x:c r="H6" s="182" t="n">
        <x:f>H4*'Assumptions'!$E$15</x:f>
        <x:v>211106.15693439997</x:v>
      </x:c>
      <x:c r="I6" s="182" t="n">
        <x:f>I4*'Assumptions'!$E$15</x:f>
        <x:v>219550.403211776</x:v>
      </x:c>
      <x:c r="J6" s="124" t="str">
        <x:v>Revenue - COGS</x:v>
      </x:c>
    </x:row>
    <x:row r="7" ht="15" hidden="0" customHeight="1">
      <x:c r="A7" s="142" t="str">
        <x:v>Gross Margin</x:v>
      </x:c>
      <x:c r="B7" s="167" t="n">
        <x:f>IFERROR(B6/B4,0)</x:f>
        <x:v>0.4177935962516778</x:v>
      </x:c>
      <x:c r="C7" s="167" t="n">
        <x:f>IFERROR(C6/C4,0)</x:f>
        <x:v>0.43309630561360085</x:v>
      </x:c>
      <x:c r="D7" s="167" t="n">
        <x:f>IFERROR(D6/D4,0)</x:f>
        <x:v>0.4413112957720756</x:v>
      </x:c>
      <x:c r="E7" s="167" t="n">
        <x:f>IFERROR(E6/E4,0)</x:f>
        <x:v>0.4620634981523393</x:v>
      </x:c>
      <x:c r="F7" s="167" t="n">
        <x:f>IFERROR(F6/F4,0)</x:f>
        <x:v>0.4690516410716045</x:v>
      </x:c>
      <x:c r="G7" s="183" t="n">
        <x:f>IFERROR(G6/G4,0)</x:f>
        <x:v>0.469</x:v>
      </x:c>
      <x:c r="H7" s="183" t="n">
        <x:f>IFERROR(H6/H4,0)</x:f>
        <x:v>0.469</x:v>
      </x:c>
      <x:c r="I7" s="183" t="n">
        <x:f>IFERROR(I6/I4,0)</x:f>
        <x:v>0.469</x:v>
      </x:c>
      <x:c r="J7" s="124" t="str">
        <x:v>Gross profit / revenue</x:v>
      </x:c>
    </x:row>
    <x:row r="8" ht="15" hidden="0" customHeight="1">
      <x:c r="A8" s="142" t="str">
        <x:v>Operating Expenses</x:v>
      </x:c>
      <x:c r="B8" s="143" t="n">
        <x:f>'Raw Data'!B7</x:f>
        <x:v>43887</x:v>
      </x:c>
      <x:c r="C8" s="143" t="n">
        <x:f>'Raw Data'!C7</x:f>
        <x:v>51345</x:v>
      </x:c>
      <x:c r="D8" s="143" t="n">
        <x:f>'Raw Data'!D7</x:f>
        <x:v>54847</x:v>
      </x:c>
      <x:c r="E8" s="143" t="n">
        <x:f>'Raw Data'!E7</x:f>
        <x:v>57467</x:v>
      </x:c>
      <x:c r="F8" s="143" t="n">
        <x:f>'Raw Data'!F7</x:f>
        <x:v>62151</x:v>
      </x:c>
      <x:c r="G8" s="182" t="n">
        <x:f>G6-G11</x:f>
        <x:v>64488.308560000005</x:v>
      </x:c>
      <x:c r="H8" s="182" t="n">
        <x:f>H6-H11</x:f>
        <x:v>67067.8409024</x:v>
      </x:c>
      <x:c r="I8" s="182" t="n">
        <x:f>I6-I11</x:f>
        <x:v>69750.55453849601</x:v>
      </x:c>
      <x:c r="J8" s="124" t="str">
        <x:v>Gross profit - EBIT</x:v>
      </x:c>
    </x:row>
    <x:row r="9" ht="15" hidden="0" customHeight="1">
      <x:c r="A9" s="142" t="str">
        <x:v>Depreciation &amp; Amortization</x:v>
      </x:c>
      <x:c r="B9" s="143" t="n">
        <x:f>'Raw Data'!B8</x:f>
        <x:v>11284</x:v>
      </x:c>
      <x:c r="C9" s="143" t="n">
        <x:f>'Raw Data'!C8</x:f>
        <x:v>11104</x:v>
      </x:c>
      <x:c r="D9" s="143" t="n">
        <x:f>'Raw Data'!D8</x:f>
        <x:v>11519</x:v>
      </x:c>
      <x:c r="E9" s="143" t="n">
        <x:f>'Raw Data'!E8</x:f>
        <x:v>11445</x:v>
      </x:c>
      <x:c r="F9" s="143" t="n">
        <x:f>'Raw Data'!F8</x:f>
        <x:v>11698</x:v>
      </x:c>
      <x:c r="G9" s="182" t="n">
        <x:f>G4*'Assumptions'!$E$16</x:f>
        <x:v>12118.608320000001</x:v>
      </x:c>
      <x:c r="H9" s="182" t="n">
        <x:f>H4*'Assumptions'!$E$16</x:f>
        <x:v>12603.3526528</x:v>
      </x:c>
      <x:c r="I9" s="182" t="n">
        <x:f>I4*'Assumptions'!$E$16</x:f>
        <x:v>13107.486758912002</x:v>
      </x:c>
      <x:c r="J9" s="124" t="str">
        <x:v>D&amp;A % revenue</x:v>
      </x:c>
    </x:row>
    <x:row r="10" ht="15" hidden="0" customHeight="1">
      <x:c r="A10" s="142" t="str">
        <x:v>EBITDA</x:v>
      </x:c>
      <x:c r="B10" s="143" t="n">
        <x:f>B11+B9</x:f>
        <x:v>120233</x:v>
      </x:c>
      <x:c r="C10" s="143" t="n">
        <x:f>C11+C9</x:f>
        <x:v>130541</x:v>
      </x:c>
      <x:c r="D10" s="143" t="n">
        <x:f>D11+D9</x:f>
        <x:v>125820</x:v>
      </x:c>
      <x:c r="E10" s="143" t="n">
        <x:f>E11+E9</x:f>
        <x:v>134661</x:v>
      </x:c>
      <x:c r="F10" s="143" t="n">
        <x:f>F11+F9</x:f>
        <x:v>144748</x:v>
      </x:c>
      <x:c r="G10" s="182" t="n">
        <x:f>G4*'Assumptions'!$E$9</x:f>
        <x:v>150616.98911999998</x:v>
      </x:c>
      <x:c r="H10" s="182" t="n">
        <x:f>H4*'Assumptions'!$E$9</x:f>
        <x:v>156641.66868479998</x:v>
      </x:c>
      <x:c r="I10" s="182" t="n">
        <x:f>I4*'Assumptions'!$E$9</x:f>
        <x:v>162907.335432192</x:v>
      </x:c>
      <x:c r="J10" s="124" t="str">
        <x:v>EBIT + D&amp;A</x:v>
      </x:c>
    </x:row>
    <x:row r="11" ht="15" hidden="0" customHeight="1">
      <x:c r="A11" s="142" t="str">
        <x:v>EBIT</x:v>
      </x:c>
      <x:c r="B11" s="143" t="n">
        <x:f>'Raw Data'!B10</x:f>
        <x:v>108949</x:v>
      </x:c>
      <x:c r="C11" s="143" t="n">
        <x:f>'Raw Data'!C10</x:f>
        <x:v>119437</x:v>
      </x:c>
      <x:c r="D11" s="143" t="n">
        <x:f>'Raw Data'!D10</x:f>
        <x:v>114301</x:v>
      </x:c>
      <x:c r="E11" s="143" t="n">
        <x:f>'Raw Data'!E10</x:f>
        <x:v>123216</x:v>
      </x:c>
      <x:c r="F11" s="143" t="n">
        <x:f>'Raw Data'!F10</x:f>
        <x:v>133050</x:v>
      </x:c>
      <x:c r="G11" s="182" t="n">
        <x:f>G10-G9</x:f>
        <x:v>138498.38079999998</x:v>
      </x:c>
      <x:c r="H11" s="182" t="n">
        <x:f>H10-H9</x:f>
        <x:v>144038.31603199997</x:v>
      </x:c>
      <x:c r="I11" s="182" t="n">
        <x:f>I10-I9</x:f>
        <x:v>149799.84867327998</x:v>
      </x:c>
      <x:c r="J11" s="124" t="str">
        <x:v>EBITDA - D&amp;A</x:v>
      </x:c>
    </x:row>
    <x:row r="12" ht="15" hidden="0" customHeight="1">
      <x:c r="A12" s="142" t="str">
        <x:v>Cash Interest Proxy</x:v>
      </x:c>
      <x:c r="B12" s="143" t="n">
        <x:f>'Raw Data'!B11</x:f>
        <x:v>2687</x:v>
      </x:c>
      <x:c r="C12" s="143" t="n">
        <x:f>'Raw Data'!C11</x:f>
        <x:v>2865</x:v>
      </x:c>
      <x:c r="D12" s="143" t="n">
        <x:f>'Raw Data'!D11</x:f>
        <x:v>3933</x:v>
      </x:c>
      <x:c r="E12" s="143" t="n">
        <x:f>'Raw Data'!E11</x:f>
        <x:v>3000</x:v>
      </x:c>
      <x:c r="F12" s="143" t="n">
        <x:f>'Raw Data'!F11</x:f>
        <x:v>2600</x:v>
      </x:c>
      <x:c r="G12" s="182" t="n">
        <x:f>'Assumptions'!$E$10</x:f>
        <x:v>2600</x:v>
      </x:c>
      <x:c r="H12" s="182" t="n">
        <x:f>'Assumptions'!$E$10</x:f>
        <x:v>2600</x:v>
      </x:c>
      <x:c r="I12" s="182" t="n">
        <x:f>'Assumptions'!$E$10</x:f>
        <x:v>2600</x:v>
      </x:c>
      <x:c r="J12" s="124" t="str">
        <x:v>Scenario cash-interest proxy input</x:v>
      </x:c>
    </x:row>
    <x:row r="13" ht="15" hidden="0" customHeight="1">
      <x:c r="A13" s="142" t="str">
        <x:v>Net Income</x:v>
      </x:c>
      <x:c r="B13" s="143" t="n">
        <x:f>'Raw Data'!B12</x:f>
        <x:v>94680</x:v>
      </x:c>
      <x:c r="C13" s="143" t="n">
        <x:f>'Raw Data'!C12</x:f>
        <x:v>99803</x:v>
      </x:c>
      <x:c r="D13" s="143" t="n">
        <x:f>'Raw Data'!D12</x:f>
        <x:v>96995</x:v>
      </x:c>
      <x:c r="E13" s="143" t="n">
        <x:f>'Raw Data'!E12</x:f>
        <x:v>93736</x:v>
      </x:c>
      <x:c r="F13" s="143" t="n">
        <x:f>'Raw Data'!F12</x:f>
        <x:v>112010</x:v>
      </x:c>
      <x:c r="G13" s="182" t="n">
        <x:f>(G11-G12)*(1-'Assumptions'!$E$17)</x:f>
        <x:v>114154.63987199999</x:v>
      </x:c>
      <x:c r="H13" s="182" t="n">
        <x:f>(H11-H12)*(1-'Assumptions'!$E$17)</x:f>
        <x:v>118808.18546687998</x:v>
      </x:c>
      <x:c r="I13" s="182" t="n">
        <x:f>(I11-I12)*(1-'Assumptions'!$E$17)</x:f>
        <x:v>123647.87288555517</x:v>
      </x:c>
      <x:c r="J13" s="124" t="str">
        <x:v>Pretax less tax</x:v>
      </x:c>
    </x:row>
    <x:row r="14" ht="15" hidden="0" customHeight="1">
      <x:c r="A14" s="142" t="str">
        <x:v>Net Margin</x:v>
      </x:c>
      <x:c r="B14" s="143" t="n">
        <x:f>IFERROR(B13/B4,0)</x:f>
        <x:v>0.2588179335569424</x:v>
      </x:c>
      <x:c r="C14" s="143" t="n">
        <x:f>IFERROR(C13/C4,0)</x:f>
        <x:v>0.2530964070519973</x:v>
      </x:c>
      <x:c r="D14" s="143" t="n">
        <x:f>IFERROR(D13/D4,0)</x:f>
        <x:v>0.2530623426432028</x:v>
      </x:c>
      <x:c r="E14" s="143" t="n">
        <x:f>IFERROR(E13/E4,0)</x:f>
        <x:v>0.23971255769943867</x:v>
      </x:c>
      <x:c r="F14" s="143" t="n">
        <x:f>IFERROR(F13/F4,0)</x:f>
        <x:v>0.2691506412181824</x:v>
      </x:c>
      <x:c r="G14" s="182" t="n">
        <x:f>IFERROR(G13/G4,0)</x:f>
        <x:v>0.2637538760239426</x:v>
      </x:c>
      <x:c r="H14" s="182" t="n">
        <x:f>IFERROR(H13/H4,0)</x:f>
        <x:v>0.2639479577153294</x:v>
      </x:c>
      <x:c r="I14" s="182" t="n">
        <x:f>IFERROR(I13/I4,0)</x:f>
        <x:v>0.26413457472627827</x:v>
      </x:c>
      <x:c r="J14" s="124" t="str">
        <x:v>Net income / revenue</x:v>
      </x:c>
    </x:row>
    <x:row r="15" ht="15" hidden="0" customHeight="1">
      <x:c r="A15" s="142" t="str">
        <x:v>Cash</x:v>
      </x:c>
      <x:c r="B15" s="143" t="n">
        <x:f>'Raw Data'!B13</x:f>
        <x:v>34940</x:v>
      </x:c>
      <x:c r="C15" s="143" t="n">
        <x:f>'Raw Data'!C13</x:f>
        <x:v>23646</x:v>
      </x:c>
      <x:c r="D15" s="143" t="n">
        <x:f>'Raw Data'!D13</x:f>
        <x:v>29965</x:v>
      </x:c>
      <x:c r="E15" s="143" t="n">
        <x:f>'Raw Data'!E13</x:f>
        <x:v>29943</x:v>
      </x:c>
      <x:c r="F15" s="143" t="n">
        <x:f>'Raw Data'!F13</x:f>
        <x:v>35934</x:v>
      </x:c>
      <x:c r="G15" s="182" t="n">
        <x:f>F15+G27</x:f>
        <x:v>138942.17072</x:v>
      </x:c>
      <x:c r="H15" s="182" t="n">
        <x:f>G15+H27</x:f>
        <x:v>246070.66826880001</x:v>
      </x:c>
      <x:c r="I15" s="182" t="n">
        <x:f>H15+I27</x:f>
        <x:v>357484.30571955204</x:v>
      </x:c>
      <x:c r="J15" s="124" t="str">
        <x:v>Prior cash + FCF</x:v>
      </x:c>
    </x:row>
    <x:row r="16" ht="24" hidden="0" customHeight="1">
      <x:c r="A16" s="142" t="str">
        <x:v>Current Assets</x:v>
      </x:c>
      <x:c r="B16" s="143" t="n">
        <x:f>'Raw Data'!B14</x:f>
        <x:v>134836</x:v>
      </x:c>
      <x:c r="C16" s="143" t="n">
        <x:f>'Raw Data'!C14</x:f>
        <x:v>135405</x:v>
      </x:c>
      <x:c r="D16" s="143" t="n">
        <x:f>'Raw Data'!D14</x:f>
        <x:v>143566</x:v>
      </x:c>
      <x:c r="E16" s="143" t="n">
        <x:f>'Raw Data'!E14</x:f>
        <x:v>152987</x:v>
      </x:c>
      <x:c r="F16" s="143" t="n">
        <x:f>'Raw Data'!F14</x:f>
        <x:v>147957</x:v>
      </x:c>
      <x:c r="G16" s="182" t="n">
        <x:f>G4*F16/F4</x:f>
        <x:v>153875.28</x:v>
      </x:c>
      <x:c r="H16" s="182" t="n">
        <x:f>H4*G16/G4</x:f>
        <x:v>160030.2912</x:v>
      </x:c>
      <x:c r="I16" s="182" t="n">
        <x:f>I4*H16/H4</x:f>
        <x:v>166431.502848</x:v>
      </x:c>
      <x:c r="J16" s="124" t="str">
        <x:v>Revenue-linked projection</x:v>
      </x:c>
    </x:row>
    <x:row r="17" ht="24" hidden="0" customHeight="1">
      <x:c r="A17" s="142" t="str">
        <x:v>Inventory</x:v>
      </x:c>
      <x:c r="B17" s="143" t="n">
        <x:f>'Raw Data'!B15</x:f>
        <x:v>6580</x:v>
      </x:c>
      <x:c r="C17" s="143" t="n">
        <x:f>'Raw Data'!C15</x:f>
        <x:v>4946</x:v>
      </x:c>
      <x:c r="D17" s="143" t="n">
        <x:f>'Raw Data'!D15</x:f>
        <x:v>6331</x:v>
      </x:c>
      <x:c r="E17" s="143" t="n">
        <x:f>'Raw Data'!E15</x:f>
        <x:v>7286</x:v>
      </x:c>
      <x:c r="F17" s="143" t="n">
        <x:f>'Raw Data'!F15</x:f>
        <x:v>5718</x:v>
      </x:c>
      <x:c r="G17" s="182" t="n">
        <x:f>G16*($F$17/$F$16)</x:f>
        <x:v>5946.72</x:v>
      </x:c>
      <x:c r="H17" s="182" t="n">
        <x:f>H16*($F$17/$F$16)</x:f>
        <x:v>6184.5888</x:v>
      </x:c>
      <x:c r="I17" s="182" t="n">
        <x:f>I16*($F$17/$F$16)</x:f>
        <x:v>6431.972352000001</x:v>
      </x:c>
      <x:c r="J17" s="124" t="str">
        <x:v>Inventory kept at 2025 inventory/current-assets ratio</x:v>
      </x:c>
    </x:row>
    <x:row r="18" ht="24" hidden="0" customHeight="1">
      <x:c r="A18" s="142" t="str">
        <x:v>Current Liabilities</x:v>
      </x:c>
      <x:c r="B18" s="143" t="n">
        <x:f>'Raw Data'!B16</x:f>
        <x:v>125481</x:v>
      </x:c>
      <x:c r="C18" s="143" t="n">
        <x:f>'Raw Data'!C16</x:f>
        <x:v>153982</x:v>
      </x:c>
      <x:c r="D18" s="143" t="n">
        <x:f>'Raw Data'!D16</x:f>
        <x:v>145308</x:v>
      </x:c>
      <x:c r="E18" s="143" t="n">
        <x:f>'Raw Data'!E16</x:f>
        <x:v>176392</x:v>
      </x:c>
      <x:c r="F18" s="143" t="n">
        <x:f>'Raw Data'!F16</x:f>
        <x:v>165631</x:v>
      </x:c>
      <x:c r="G18" s="182" t="n">
        <x:f>G16/'Assumptions'!$E$14</x:f>
        <x:v>161973.97894736842</x:v>
      </x:c>
      <x:c r="H18" s="182" t="n">
        <x:f>H16/'Assumptions'!$E$14</x:f>
        <x:v>168452.93810526317</x:v>
      </x:c>
      <x:c r="I18" s="182" t="n">
        <x:f>I16/'Assumptions'!$E$14</x:f>
        <x:v>175191.0556294737</x:v>
      </x:c>
      <x:c r="J18" s="124" t="str">
        <x:v>Current assets / scenario current ratio</x:v>
      </x:c>
    </x:row>
    <x:row r="19" ht="15" hidden="0" customHeight="1">
      <x:c r="A19" s="142" t="str">
        <x:v>Commercial Paper</x:v>
      </x:c>
      <x:c r="B19" s="143" t="n">
        <x:f>'Raw Data'!B17</x:f>
        <x:v>6000</x:v>
      </x:c>
      <x:c r="C19" s="143" t="n">
        <x:f>'Raw Data'!C17</x:f>
        <x:v>9982</x:v>
      </x:c>
      <x:c r="D19" s="143" t="n">
        <x:f>'Raw Data'!D17</x:f>
        <x:v>5985</x:v>
      </x:c>
      <x:c r="E19" s="143" t="n">
        <x:f>'Raw Data'!E17</x:f>
        <x:v>9967</x:v>
      </x:c>
      <x:c r="F19" s="143" t="n">
        <x:f>'Raw Data'!F17</x:f>
        <x:v>7979</x:v>
      </x:c>
      <x:c r="G19" s="182" t="n">
        <x:f>F19*(1+'Assumptions'!$E$11)</x:f>
        <x:v>7979</x:v>
      </x:c>
      <x:c r="H19" s="182" t="n">
        <x:f>G19</x:f>
        <x:v>7979</x:v>
      </x:c>
      <x:c r="I19" s="182" t="n">
        <x:f>H19</x:f>
        <x:v>7979</x:v>
      </x:c>
      <x:c r="J19" s="124" t="str">
        <x:v>Debt change driver</x:v>
      </x:c>
    </x:row>
    <x:row r="20" ht="15" hidden="0" customHeight="1">
      <x:c r="A20" s="142" t="str">
        <x:v>Current Term Debt</x:v>
      </x:c>
      <x:c r="B20" s="143" t="n">
        <x:f>'Raw Data'!B18</x:f>
        <x:v>9613</x:v>
      </x:c>
      <x:c r="C20" s="143" t="n">
        <x:f>'Raw Data'!C18</x:f>
        <x:v>11128</x:v>
      </x:c>
      <x:c r="D20" s="143" t="n">
        <x:f>'Raw Data'!D18</x:f>
        <x:v>9822</x:v>
      </x:c>
      <x:c r="E20" s="143" t="n">
        <x:f>'Raw Data'!E18</x:f>
        <x:v>10912</x:v>
      </x:c>
      <x:c r="F20" s="143" t="n">
        <x:f>'Raw Data'!F18</x:f>
        <x:v>12350</x:v>
      </x:c>
      <x:c r="G20" s="182" t="n">
        <x:f>F20*(1+'Assumptions'!$E$11)</x:f>
        <x:v>12350</x:v>
      </x:c>
      <x:c r="H20" s="182" t="n">
        <x:f>G20</x:f>
        <x:v>12350</x:v>
      </x:c>
      <x:c r="I20" s="182" t="n">
        <x:f>H20</x:f>
        <x:v>12350</x:v>
      </x:c>
      <x:c r="J20" s="124" t="str">
        <x:v>Debt change driver</x:v>
      </x:c>
    </x:row>
    <x:row r="21" ht="15" hidden="0" customHeight="1">
      <x:c r="A21" s="142" t="str">
        <x:v>Long-Term Debt</x:v>
      </x:c>
      <x:c r="B21" s="143" t="n">
        <x:f>'Raw Data'!B19</x:f>
        <x:v>109106</x:v>
      </x:c>
      <x:c r="C21" s="143" t="n">
        <x:f>'Raw Data'!C19</x:f>
        <x:v>98959</x:v>
      </x:c>
      <x:c r="D21" s="143" t="n">
        <x:f>'Raw Data'!D19</x:f>
        <x:v>95281</x:v>
      </x:c>
      <x:c r="E21" s="143" t="n">
        <x:f>'Raw Data'!E19</x:f>
        <x:v>85750</x:v>
      </x:c>
      <x:c r="F21" s="143" t="n">
        <x:f>'Raw Data'!F19</x:f>
        <x:v>78328</x:v>
      </x:c>
      <x:c r="G21" s="182" t="n">
        <x:f>F21*(1+'Assumptions'!$E$11)</x:f>
        <x:v>78328</x:v>
      </x:c>
      <x:c r="H21" s="182" t="n">
        <x:f>G21</x:f>
        <x:v>78328</x:v>
      </x:c>
      <x:c r="I21" s="182" t="n">
        <x:f>H21</x:f>
        <x:v>78328</x:v>
      </x:c>
      <x:c r="J21" s="124" t="str">
        <x:v>Debt change driver</x:v>
      </x:c>
    </x:row>
    <x:row r="22" ht="15" hidden="0" customHeight="1">
      <x:c r="A22" s="142" t="str">
        <x:v>Total Debt</x:v>
      </x:c>
      <x:c r="B22" s="143" t="n">
        <x:f>B19+B20+B21</x:f>
        <x:v>124719</x:v>
      </x:c>
      <x:c r="C22" s="143" t="n">
        <x:f>C19+C20+C21</x:f>
        <x:v>120069</x:v>
      </x:c>
      <x:c r="D22" s="143" t="n">
        <x:f>D19+D20+D21</x:f>
        <x:v>111088</x:v>
      </x:c>
      <x:c r="E22" s="143" t="n">
        <x:f>E19+E20+E21</x:f>
        <x:v>106629</x:v>
      </x:c>
      <x:c r="F22" s="143" t="n">
        <x:f>F19+F20+F21</x:f>
        <x:v>98657</x:v>
      </x:c>
      <x:c r="G22" s="182" t="n">
        <x:f>G19+G20+G21</x:f>
        <x:v>98657</x:v>
      </x:c>
      <x:c r="H22" s="182" t="n">
        <x:f>H19+H20+H21</x:f>
        <x:v>98657</x:v>
      </x:c>
      <x:c r="I22" s="182" t="n">
        <x:f>I19+I20+I21</x:f>
        <x:v>98657</x:v>
      </x:c>
      <x:c r="J22" s="124" t="str">
        <x:v>Debt subtotal</x:v>
      </x:c>
    </x:row>
    <x:row r="23" ht="15" hidden="0" customHeight="1">
      <x:c r="A23" s="142" t="str">
        <x:v>Total Equity</x:v>
      </x:c>
      <x:c r="B23" s="143" t="n">
        <x:f>'Raw Data'!B21</x:f>
        <x:v>63090</x:v>
      </x:c>
      <x:c r="C23" s="143" t="n">
        <x:f>'Raw Data'!C21</x:f>
        <x:v>50672</x:v>
      </x:c>
      <x:c r="D23" s="143" t="n">
        <x:f>'Raw Data'!D21</x:f>
        <x:v>62146</x:v>
      </x:c>
      <x:c r="E23" s="143" t="n">
        <x:f>'Raw Data'!E21</x:f>
        <x:v>56950</x:v>
      </x:c>
      <x:c r="F23" s="143" t="n">
        <x:f>'Raw Data'!F21</x:f>
        <x:v>73733</x:v>
      </x:c>
      <x:c r="G23" s="182" t="n">
        <x:f>F23+G13*20%</x:f>
        <x:v>96563.9279744</x:v>
      </x:c>
      <x:c r="H23" s="182" t="n">
        <x:f>G23+H13*20%</x:f>
        <x:v>120325.56506777598</x:v>
      </x:c>
      <x:c r="I23" s="182" t="n">
        <x:f>H23+I13*20%</x:f>
        <x:v>145055.139644887</x:v>
      </x:c>
      <x:c r="J23" s="124" t="str">
        <x:v>Simplified partial NI retention</x:v>
      </x:c>
    </x:row>
    <x:row r="24" ht="36" hidden="0" customHeight="1">
      <x:c r="A24" s="142" t="str">
        <x:v>Total Assets</x:v>
      </x:c>
      <x:c r="B24" s="143" t="n">
        <x:f>'Raw Data'!B22</x:f>
        <x:v>351002</x:v>
      </x:c>
      <x:c r="C24" s="143" t="n">
        <x:f>'Raw Data'!C22</x:f>
        <x:v>352755</x:v>
      </x:c>
      <x:c r="D24" s="143" t="n">
        <x:f>'Raw Data'!D22</x:f>
        <x:v>352583</x:v>
      </x:c>
      <x:c r="E24" s="143" t="n">
        <x:f>'Raw Data'!E22</x:f>
        <x:v>364980</x:v>
      </x:c>
      <x:c r="F24" s="143" t="n">
        <x:f>'Raw Data'!F22</x:f>
        <x:v>359241</x:v>
      </x:c>
      <x:c r="G24" s="182" t="n">
        <x:f>G16+($F$24-$F$16)</x:f>
        <x:v>365159.28</x:v>
      </x:c>
      <x:c r="H24" s="182" t="n">
        <x:f>H16+($F$24-$F$16)</x:f>
        <x:v>371314.2912</x:v>
      </x:c>
      <x:c r="I24" s="182" t="n">
        <x:f>I16+($F$24-$F$16)</x:f>
        <x:v>377715.50284800003</x:v>
      </x:c>
      <x:c r="J24" s="124" t="str">
        <x:v>Current assets + constant non-current asset proxy</x:v>
      </x:c>
    </x:row>
    <x:row r="25" ht="15" hidden="0" customHeight="1">
      <x:c r="A25" s="142" t="str">
        <x:v>Operating Cash Flow</x:v>
      </x:c>
      <x:c r="B25" s="143" t="n">
        <x:f>'Raw Data'!B23</x:f>
        <x:v>104038</x:v>
      </x:c>
      <x:c r="C25" s="143" t="n">
        <x:f>'Raw Data'!C23</x:f>
        <x:v>122151</x:v>
      </x:c>
      <x:c r="D25" s="143" t="n">
        <x:f>'Raw Data'!D23</x:f>
        <x:v>110543</x:v>
      </x:c>
      <x:c r="E25" s="143" t="n">
        <x:f>'Raw Data'!E23</x:f>
        <x:v>118254</x:v>
      </x:c>
      <x:c r="F25" s="143" t="n">
        <x:f>'Raw Data'!F23</x:f>
        <x:v>111482</x:v>
      </x:c>
      <x:c r="G25" s="182" t="n">
        <x:f>G4*'Assumptions'!$E$13</x:f>
        <x:v>115992.39392</x:v>
      </x:c>
      <x:c r="H25" s="182" t="n">
        <x:f>H4*'Assumptions'!$E$13</x:f>
        <x:v>120632.08967680001</x:v>
      </x:c>
      <x:c r="I25" s="182" t="n">
        <x:f>I4*'Assumptions'!$E$13</x:f>
        <x:v>125457.37326387201</x:v>
      </x:c>
      <x:c r="J25" s="124" t="str">
        <x:v>OCF margin</x:v>
      </x:c>
    </x:row>
    <x:row r="26" ht="15" hidden="0" customHeight="1">
      <x:c r="A26" s="142" t="str">
        <x:v>Capital Expenditure</x:v>
      </x:c>
      <x:c r="B26" s="143" t="n">
        <x:f>'Raw Data'!B24</x:f>
        <x:v>-11085</x:v>
      </x:c>
      <x:c r="C26" s="143" t="n">
        <x:f>'Raw Data'!C24</x:f>
        <x:v>-10708</x:v>
      </x:c>
      <x:c r="D26" s="143" t="n">
        <x:f>'Raw Data'!D24</x:f>
        <x:v>-10959</x:v>
      </x:c>
      <x:c r="E26" s="143" t="n">
        <x:f>'Raw Data'!E24</x:f>
        <x:v>-9447</x:v>
      </x:c>
      <x:c r="F26" s="143" t="n">
        <x:f>'Raw Data'!F24</x:f>
        <x:v>-12715</x:v>
      </x:c>
      <x:c r="G26" s="182" t="n">
        <x:f>G4*'Assumptions'!$E$12</x:f>
        <x:v>-12984.2232</x:v>
      </x:c>
      <x:c r="H26" s="182" t="n">
        <x:f>H4*'Assumptions'!$E$12</x:f>
        <x:v>-13503.592127999998</x:v>
      </x:c>
      <x:c r="I26" s="182" t="n">
        <x:f>I4*'Assumptions'!$E$12</x:f>
        <x:v>-14043.73581312</x:v>
      </x:c>
      <x:c r="J26" s="124" t="str">
        <x:v>CapEx % revenue</x:v>
      </x:c>
    </x:row>
    <x:row r="27" ht="15" hidden="0" customHeight="1">
      <x:c r="A27" s="142" t="str">
        <x:v>Free Cash Flow</x:v>
      </x:c>
      <x:c r="B27" s="143" t="n">
        <x:f>B25+B26</x:f>
        <x:v>92953</x:v>
      </x:c>
      <x:c r="C27" s="143" t="n">
        <x:f>C25+C26</x:f>
        <x:v>111443</x:v>
      </x:c>
      <x:c r="D27" s="143" t="n">
        <x:f>D25+D26</x:f>
        <x:v>99584</x:v>
      </x:c>
      <x:c r="E27" s="143" t="n">
        <x:f>E25+E26</x:f>
        <x:v>108807</x:v>
      </x:c>
      <x:c r="F27" s="143" t="n">
        <x:f>F25+F26</x:f>
        <x:v>98767</x:v>
      </x:c>
      <x:c r="G27" s="182" t="n">
        <x:f>G25+G26</x:f>
        <x:v>103008.17072</x:v>
      </x:c>
      <x:c r="H27" s="182" t="n">
        <x:f>H25+H26</x:f>
        <x:v>107128.4975488</x:v>
      </x:c>
      <x:c r="I27" s="182" t="n">
        <x:f>I25+I26</x:f>
        <x:v>111413.63745075201</x:v>
      </x:c>
      <x:c r="J27" s="124" t="str">
        <x:v>OCF + CapEx</x:v>
      </x:c>
    </x:row>
    <x:row r="28" ht="15" hidden="0" customHeight="1">
      <x:c r="A28" s="142" t="str">
        <x:v>EBITDA Margin</x:v>
      </x:c>
      <x:c r="B28" s="167" t="n">
        <x:f>IFERROR(B10/B4,0)</x:f>
        <x:v>0.3286697993805646</x:v>
      </x:c>
      <x:c r="C28" s="167" t="n">
        <x:f>IFERROR(C10/C4,0)</x:f>
        <x:v>0.3310467428130896</x:v>
      </x:c>
      <x:c r="D28" s="167" t="n">
        <x:f>IFERROR(D10/D4,0)</x:f>
        <x:v>0.3282674772036474</x:v>
      </x:c>
      <x:c r="E28" s="167" t="n">
        <x:f>IFERROR(E10/E4,0)</x:f>
        <x:v>0.3443707085043538</x:v>
      </x:c>
      <x:c r="F28" s="167" t="n">
        <x:f>IFERROR(F10/F4,0)</x:f>
        <x:v>0.3478173110887373</x:v>
      </x:c>
      <x:c r="G28" s="183" t="n">
        <x:f>IFERROR(G10/G4,0)</x:f>
        <x:v>0.348</x:v>
      </x:c>
      <x:c r="H28" s="183" t="n">
        <x:f>IFERROR(H10/H4,0)</x:f>
        <x:v>0.348</x:v>
      </x:c>
      <x:c r="I28" s="183" t="n">
        <x:f>IFERROR(I10/I4,0)</x:f>
        <x:v>0.348</x:v>
      </x:c>
      <x:c r="J28" s="124" t="str">
        <x:v>EBITDA / revenue</x:v>
      </x:c>
    </x:row>
    <x:row r="29" ht="15" hidden="0" customHeight="1">
      <x:c r="A29" s="144" t="str">
        <x:v>EBIT Margin</x:v>
      </x:c>
      <x:c r="B29" s="177" t="n">
        <x:f>IFERROR(B11/B4,0)</x:f>
        <x:v>0.29782377527561593</x:v>
      </x:c>
      <x:c r="C29" s="177" t="n">
        <x:f>IFERROR(C11/C4,0)</x:f>
        <x:v>0.30288744395528594</x:v>
      </x:c>
      <x:c r="D29" s="177" t="n">
        <x:f>IFERROR(D11/D4,0)</x:f>
        <x:v>0.2982141226502472</x:v>
      </x:c>
      <x:c r="E29" s="177" t="n">
        <x:f>IFERROR(E11/E4,0)</x:f>
        <x:v>0.31510222870075566</x:v>
      </x:c>
      <x:c r="F29" s="177" t="n">
        <x:f>IFERROR(F11/F4,0)</x:f>
        <x:v>0.31970799762591884</x:v>
      </x:c>
      <x:c r="G29" s="184" t="n">
        <x:f>IFERROR(G11/G4,0)</x:f>
        <x:v>0.31999999999999995</x:v>
      </x:c>
      <x:c r="H29" s="184" t="n">
        <x:f>IFERROR(H11/H4,0)</x:f>
        <x:v>0.31999999999999995</x:v>
      </x:c>
      <x:c r="I29" s="184" t="n">
        <x:f>IFERROR(I11/I4,0)</x:f>
        <x:v>0.31999999999999995</x:v>
      </x:c>
      <x:c r="J29" s="126" t="str">
        <x:v>EBIT / revenue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85" hidden="0" customWidth="1"/>
  </x:cols>
  <x:sheetData>
    <x:row r="1" ht="15" hidden="0" customHeight="1">
      <x:c r="A1" s="119" t="str">
        <x:v>Ratio Analysis - Formula, Values, and Interpretation</x:v>
      </x:c>
      <x:c r="B1" s="119" t="str">
        <x:v>Ratio Analysis - Formula, Values, and Interpretation</x:v>
      </x:c>
      <x:c r="C1" s="119" t="str">
        <x:v>Ratio Analysis - Formula, Values, and Interpretation</x:v>
      </x:c>
      <x:c r="D1" s="119" t="str">
        <x:v>Ratio Analysis - Formula, Values, and Interpretation</x:v>
      </x:c>
      <x:c r="E1" s="119" t="str">
        <x:v>Ratio Analysis - Formula, Values, and Interpretation</x:v>
      </x:c>
      <x:c r="F1" s="119" t="str">
        <x:v>Ratio Analysis - Formula, Values, and Interpretation</x:v>
      </x:c>
      <x:c r="G1" s="119" t="str">
        <x:v>Ratio Analysis - Formula, Values, and Interpretation</x:v>
      </x:c>
      <x:c r="H1" s="119" t="str">
        <x:v>Ratio Analysis - Formula, Values, and Interpretation</x:v>
      </x:c>
      <x:c r="I1" s="119" t="str">
        <x:v>Ratio Analysis - Formula, Values, and Interpretation</x:v>
      </x:c>
      <x:c r="J1" s="119" t="str">
        <x:v>Ratio Analysis - Formula, Values, and Interpretation</x:v>
      </x:c>
      <x:c r="K1" s="119" t="str">
        <x:v>Ratio Analysis - Formula, Values, and Interpretation</x:v>
      </x:c>
      <x:c r="L1" s="119" t="str">
        <x:v>Ratio Analysis - Formula, Values, and Interpretation</x:v>
      </x:c>
    </x:row>
    <x:row r="2" ht="15" hidden="0" customHeight="1">
      <x:c r="A2" s="128"/>
      <x:c r="B2" s="128"/>
      <x:c r="C2" s="128"/>
      <x:c r="D2" s="128"/>
      <x:c r="E2" s="128"/>
      <x:c r="F2" s="128"/>
      <x:c r="G2" s="128"/>
      <x:c r="H2" s="128"/>
      <x:c r="I2" s="128"/>
      <x:c r="J2" s="128"/>
      <x:c r="K2" s="128"/>
      <x:c r="L2" s="128"/>
    </x:row>
    <x:row r="3" ht="15" hidden="0" customHeight="1">
      <x:c r="A3" s="129" t="str">
        <x:v>Category</x:v>
      </x:c>
      <x:c r="B3" s="130" t="str">
        <x:v>Ratio</x:v>
      </x:c>
      <x:c r="C3" s="130" t="str">
        <x:v>Formula</x:v>
      </x:c>
      <x:c r="D3" s="130" t="str">
        <x:v>2021A</x:v>
      </x:c>
      <x:c r="E3" s="130" t="str">
        <x:v>2022A</x:v>
      </x:c>
      <x:c r="F3" s="130" t="str">
        <x:v>2023A</x:v>
      </x:c>
      <x:c r="G3" s="130" t="str">
        <x:v>2024A</x:v>
      </x:c>
      <x:c r="H3" s="130" t="str">
        <x:v>2025A</x:v>
      </x:c>
      <x:c r="I3" s="130" t="str">
        <x:v>2026E</x:v>
      </x:c>
      <x:c r="J3" s="130" t="str">
        <x:v>2027E</x:v>
      </x:c>
      <x:c r="K3" s="130" t="str">
        <x:v>2028E</x:v>
      </x:c>
      <x:c r="L3" s="131" t="str">
        <x:v>Interpretation</x:v>
      </x:c>
    </x:row>
    <x:row r="4" ht="15" hidden="0" customHeight="1">
      <x:c r="A4" s="146" t="str">
        <x:v>Profitability</x:v>
      </x:c>
      <x:c r="B4" s="128" t="str">
        <x:v>Gross Margin</x:v>
      </x:c>
      <x:c r="C4" s="128" t="str">
        <x:v>Gross Profit / Revenue</x:v>
      </x:c>
      <x:c r="D4" s="167" t="n">
        <x:f>IFERROR('Financial Statements'!B6/'Financial Statements'!B4,0)</x:f>
        <x:v>0.4177935962516778</x:v>
      </x:c>
      <x:c r="E4" s="167" t="n">
        <x:f>IFERROR('Financial Statements'!C6/'Financial Statements'!C4,0)</x:f>
        <x:v>0.43309630561360085</x:v>
      </x:c>
      <x:c r="F4" s="167" t="n">
        <x:f>IFERROR('Financial Statements'!D6/'Financial Statements'!D4,0)</x:f>
        <x:v>0.4413112957720756</x:v>
      </x:c>
      <x:c r="G4" s="167" t="n">
        <x:f>IFERROR('Financial Statements'!E6/'Financial Statements'!E4,0)</x:f>
        <x:v>0.4620634981523393</x:v>
      </x:c>
      <x:c r="H4" s="167" t="n">
        <x:f>IFERROR('Financial Statements'!F6/'Financial Statements'!F4,0)</x:f>
        <x:v>0.4690516410716045</x:v>
      </x:c>
      <x:c r="I4" s="167" t="n">
        <x:f>IFERROR('Financial Statements'!G6/'Financial Statements'!G4,0)</x:f>
        <x:v>0.469</x:v>
      </x:c>
      <x:c r="J4" s="167" t="n">
        <x:f>IFERROR('Financial Statements'!H6/'Financial Statements'!H4,0)</x:f>
        <x:v>0.469</x:v>
      </x:c>
      <x:c r="K4" s="167" t="n">
        <x:f>IFERROR('Financial Statements'!I6/'Financial Statements'!I4,0)</x:f>
        <x:v>0.469</x:v>
      </x:c>
      <x:c r="L4" s="124" t="str">
        <x:v>Higher margin indicates stronger pricing/cost structure.</x:v>
      </x:c>
    </x:row>
    <x:row r="5" ht="15" hidden="0" customHeight="1">
      <x:c r="A5" s="146" t="str">
        <x:v>Profitability</x:v>
      </x:c>
      <x:c r="B5" s="128" t="str">
        <x:v>EBITDA Margin</x:v>
      </x:c>
      <x:c r="C5" s="128" t="str">
        <x:v>EBITDA / Revenue</x:v>
      </x:c>
      <x:c r="D5" s="167" t="n">
        <x:f>IFERROR('Financial Statements'!B10/'Financial Statements'!B4,0)</x:f>
        <x:v>0.3286697993805646</x:v>
      </x:c>
      <x:c r="E5" s="167" t="n">
        <x:f>IFERROR('Financial Statements'!C10/'Financial Statements'!C4,0)</x:f>
        <x:v>0.3310467428130896</x:v>
      </x:c>
      <x:c r="F5" s="167" t="n">
        <x:f>IFERROR('Financial Statements'!D10/'Financial Statements'!D4,0)</x:f>
        <x:v>0.3282674772036474</x:v>
      </x:c>
      <x:c r="G5" s="167" t="n">
        <x:f>IFERROR('Financial Statements'!E10/'Financial Statements'!E4,0)</x:f>
        <x:v>0.3443707085043538</x:v>
      </x:c>
      <x:c r="H5" s="167" t="n">
        <x:f>IFERROR('Financial Statements'!F10/'Financial Statements'!F4,0)</x:f>
        <x:v>0.3478173110887373</x:v>
      </x:c>
      <x:c r="I5" s="167" t="n">
        <x:f>IFERROR('Financial Statements'!G10/'Financial Statements'!G4,0)</x:f>
        <x:v>0.348</x:v>
      </x:c>
      <x:c r="J5" s="167" t="n">
        <x:f>IFERROR('Financial Statements'!H10/'Financial Statements'!H4,0)</x:f>
        <x:v>0.348</x:v>
      </x:c>
      <x:c r="K5" s="167" t="n">
        <x:f>IFERROR('Financial Statements'!I10/'Financial Statements'!I4,0)</x:f>
        <x:v>0.348</x:v>
      </x:c>
      <x:c r="L5" s="124" t="str">
        <x:v>Shows operating earnings before D&amp;A as a percentage of sales.</x:v>
      </x:c>
    </x:row>
    <x:row r="6" ht="15" hidden="0" customHeight="1">
      <x:c r="A6" s="146" t="str">
        <x:v>Profitability</x:v>
      </x:c>
      <x:c r="B6" s="128" t="str">
        <x:v>EBIT Margin</x:v>
      </x:c>
      <x:c r="C6" s="128" t="str">
        <x:v>EBIT / Revenue</x:v>
      </x:c>
      <x:c r="D6" s="167" t="n">
        <x:f>IFERROR('Financial Statements'!B11/'Financial Statements'!B4,0)</x:f>
        <x:v>0.29782377527561593</x:v>
      </x:c>
      <x:c r="E6" s="167" t="n">
        <x:f>IFERROR('Financial Statements'!C11/'Financial Statements'!C4,0)</x:f>
        <x:v>0.30288744395528594</x:v>
      </x:c>
      <x:c r="F6" s="167" t="n">
        <x:f>IFERROR('Financial Statements'!D11/'Financial Statements'!D4,0)</x:f>
        <x:v>0.2982141226502472</x:v>
      </x:c>
      <x:c r="G6" s="167" t="n">
        <x:f>IFERROR('Financial Statements'!E11/'Financial Statements'!E4,0)</x:f>
        <x:v>0.31510222870075566</x:v>
      </x:c>
      <x:c r="H6" s="167" t="n">
        <x:f>IFERROR('Financial Statements'!F11/'Financial Statements'!F4,0)</x:f>
        <x:v>0.31970799762591884</x:v>
      </x:c>
      <x:c r="I6" s="167" t="n">
        <x:f>IFERROR('Financial Statements'!G11/'Financial Statements'!G4,0)</x:f>
        <x:v>0.31999999999999995</x:v>
      </x:c>
      <x:c r="J6" s="167" t="n">
        <x:f>IFERROR('Financial Statements'!H11/'Financial Statements'!H4,0)</x:f>
        <x:v>0.31999999999999995</x:v>
      </x:c>
      <x:c r="K6" s="167" t="n">
        <x:f>IFERROR('Financial Statements'!I11/'Financial Statements'!I4,0)</x:f>
        <x:v>0.31999999999999995</x:v>
      </x:c>
      <x:c r="L6" s="124" t="str">
        <x:v>Operating profit margin after D&amp;A.</x:v>
      </x:c>
    </x:row>
    <x:row r="7" ht="15" hidden="0" customHeight="1">
      <x:c r="A7" s="146" t="str">
        <x:v>Profitability</x:v>
      </x:c>
      <x:c r="B7" s="128" t="str">
        <x:v>Net Margin</x:v>
      </x:c>
      <x:c r="C7" s="128" t="str">
        <x:v>Net Income / Revenue</x:v>
      </x:c>
      <x:c r="D7" s="167" t="n">
        <x:f>IFERROR('Financial Statements'!B13/'Financial Statements'!B4,0)</x:f>
        <x:v>0.2588179335569424</x:v>
      </x:c>
      <x:c r="E7" s="167" t="n">
        <x:f>IFERROR('Financial Statements'!C13/'Financial Statements'!C4,0)</x:f>
        <x:v>0.2530964070519973</x:v>
      </x:c>
      <x:c r="F7" s="167" t="n">
        <x:f>IFERROR('Financial Statements'!D13/'Financial Statements'!D4,0)</x:f>
        <x:v>0.2530623426432028</x:v>
      </x:c>
      <x:c r="G7" s="167" t="n">
        <x:f>IFERROR('Financial Statements'!E13/'Financial Statements'!E4,0)</x:f>
        <x:v>0.23971255769943867</x:v>
      </x:c>
      <x:c r="H7" s="167" t="n">
        <x:f>IFERROR('Financial Statements'!F13/'Financial Statements'!F4,0)</x:f>
        <x:v>0.2691506412181824</x:v>
      </x:c>
      <x:c r="I7" s="167" t="n">
        <x:f>IFERROR('Financial Statements'!G13/'Financial Statements'!G4,0)</x:f>
        <x:v>0.2637538760239426</x:v>
      </x:c>
      <x:c r="J7" s="167" t="n">
        <x:f>IFERROR('Financial Statements'!H13/'Financial Statements'!H4,0)</x:f>
        <x:v>0.2639479577153294</x:v>
      </x:c>
      <x:c r="K7" s="167" t="n">
        <x:f>IFERROR('Financial Statements'!I13/'Financial Statements'!I4,0)</x:f>
        <x:v>0.26413457472627827</x:v>
      </x:c>
      <x:c r="L7" s="124" t="str">
        <x:v>Profit available after taxes and other costs.</x:v>
      </x:c>
    </x:row>
    <x:row r="8" ht="15" hidden="0" customHeight="1">
      <x:c r="A8" s="146" t="str">
        <x:v>Profitability</x:v>
      </x:c>
      <x:c r="B8" s="128" t="str">
        <x:v>ROA</x:v>
      </x:c>
      <x:c r="C8" s="128" t="str">
        <x:v>Net Income / Total Assets</x:v>
      </x:c>
      <x:c r="D8" s="167" t="n">
        <x:f>IFERROR('Financial Statements'!B13/'Financial Statements'!B24,0)</x:f>
        <x:v>0.26974205275183616</x:v>
      </x:c>
      <x:c r="E8" s="167" t="n">
        <x:f>IFERROR('Financial Statements'!C13/'Financial Statements'!C24,0)</x:f>
        <x:v>0.2829244092925685</x:v>
      </x:c>
      <x:c r="F8" s="167" t="n">
        <x:f>IFERROR('Financial Statements'!D13/'Financial Statements'!D24,0)</x:f>
        <x:v>0.27509834563776475</x:v>
      </x:c>
      <x:c r="G8" s="167" t="n">
        <x:f>IFERROR('Financial Statements'!E13/'Financial Statements'!E24,0)</x:f>
        <x:v>0.25682503150857583</x:v>
      </x:c>
      <x:c r="H8" s="167" t="n">
        <x:f>IFERROR('Financial Statements'!F13/'Financial Statements'!F24,0)</x:f>
        <x:v>0.3117962593356549</x:v>
      </x:c>
      <x:c r="I8" s="167" t="n">
        <x:f>IFERROR('Financial Statements'!G13/'Financial Statements'!G24,0)</x:f>
        <x:v>0.31261601751432955</x:v>
      </x:c>
      <x:c r="J8" s="167" t="n">
        <x:f>IFERROR('Financial Statements'!H13/'Financial Statements'!H24,0)</x:f>
        <x:v>0.3199666381892278</x:v>
      </x:c>
      <x:c r="K8" s="167" t="n">
        <x:f>IFERROR('Financial Statements'!I13/'Financial Statements'!I24,0)</x:f>
        <x:v>0.3273571562544878</x:v>
      </x:c>
      <x:c r="L8" s="124" t="str">
        <x:v>Return generated on asset base.</x:v>
      </x:c>
    </x:row>
    <x:row r="9" ht="15" hidden="0" customHeight="1">
      <x:c r="A9" s="146" t="str">
        <x:v>Profitability</x:v>
      </x:c>
      <x:c r="B9" s="128" t="str">
        <x:v>ROE</x:v>
      </x:c>
      <x:c r="C9" s="128" t="str">
        <x:v>Net Income / Total Equity</x:v>
      </x:c>
      <x:c r="D9" s="167" t="n">
        <x:f>IFERROR('Financial Statements'!B13/'Financial Statements'!B23,0)</x:f>
        <x:v>1.5007132667617689</x:v>
      </x:c>
      <x:c r="E9" s="167" t="n">
        <x:f>IFERROR('Financial Statements'!C13/'Financial Statements'!C23,0)</x:f>
        <x:v>1.9695887275023682</x:v>
      </x:c>
      <x:c r="F9" s="167" t="n">
        <x:f>IFERROR('Financial Statements'!D13/'Financial Statements'!D23,0)</x:f>
        <x:v>1.5607601454639075</x:v>
      </x:c>
      <x:c r="G9" s="167" t="n">
        <x:f>IFERROR('Financial Statements'!E13/'Financial Statements'!E23,0)</x:f>
        <x:v>1.6459350307287095</x:v>
      </x:c>
      <x:c r="H9" s="167" t="n">
        <x:f>IFERROR('Financial Statements'!F13/'Financial Statements'!F23,0)</x:f>
        <x:v>1.5191298333175105</x:v>
      </x:c>
      <x:c r="I9" s="167" t="n">
        <x:f>IFERROR('Financial Statements'!G13/'Financial Statements'!G23,0)</x:f>
        <x:v>1.1821664908066236</x:v>
      </x:c>
      <x:c r="J9" s="167" t="n">
        <x:f>IFERROR('Financial Statements'!H13/'Financial Statements'!H23,0)</x:f>
        <x:v>0.9873893831286701</x:v>
      </x:c>
      <x:c r="K9" s="167" t="n">
        <x:f>IFERROR('Financial Statements'!I13/'Financial Statements'!I23,0)</x:f>
        <x:v>0.8524197983488246</x:v>
      </x:c>
      <x:c r="L9" s="124" t="str">
        <x:v>Return relative to shareholder equity; can be distorted by buybacks/equity base.</x:v>
      </x:c>
    </x:row>
    <x:row r="10" ht="15" hidden="0" customHeight="1">
      <x:c r="A10" s="146" t="str">
        <x:v>Liquidity</x:v>
      </x:c>
      <x:c r="B10" s="128" t="str">
        <x:v>Current Ratio</x:v>
      </x:c>
      <x:c r="C10" s="128" t="str">
        <x:v>Current Assets / Current Liabilities</x:v>
      </x:c>
      <x:c r="D10" s="186" t="n">
        <x:f>IFERROR('Financial Statements'!B16/'Financial Statements'!B18,0)</x:f>
        <x:v>1.0745531195957954</x:v>
      </x:c>
      <x:c r="E10" s="186" t="n">
        <x:f>IFERROR('Financial Statements'!C16/'Financial Statements'!C18,0)</x:f>
        <x:v>0.8793560286267226</x:v>
      </x:c>
      <x:c r="F10" s="186" t="n">
        <x:f>IFERROR('Financial Statements'!D16/'Financial Statements'!D18,0)</x:f>
        <x:v>0.9880116717592975</x:v>
      </x:c>
      <x:c r="G10" s="186" t="n">
        <x:f>IFERROR('Financial Statements'!E16/'Financial Statements'!E18,0)</x:f>
        <x:v>0.8673125765340832</x:v>
      </x:c>
      <x:c r="H10" s="186" t="n">
        <x:f>IFERROR('Financial Statements'!F16/'Financial Statements'!F18,0)</x:f>
        <x:v>0.8932929222186667</x:v>
      </x:c>
      <x:c r="I10" s="186" t="n">
        <x:f>IFERROR('Financial Statements'!G16/'Financial Statements'!G18,0)</x:f>
        <x:v>0.95</x:v>
      </x:c>
      <x:c r="J10" s="186" t="n">
        <x:f>IFERROR('Financial Statements'!H16/'Financial Statements'!H18,0)</x:f>
        <x:v>0.95</x:v>
      </x:c>
      <x:c r="K10" s="186" t="n">
        <x:f>IFERROR('Financial Statements'!I16/'Financial Statements'!I18,0)</x:f>
        <x:v>0.95</x:v>
      </x:c>
      <x:c r="L10" s="124" t="str">
        <x:v>Ability of current assets to cover current liabilities.</x:v>
      </x:c>
    </x:row>
    <x:row r="11" ht="15" hidden="0" customHeight="1">
      <x:c r="A11" s="146" t="str">
        <x:v>Liquidity</x:v>
      </x:c>
      <x:c r="B11" s="128" t="str">
        <x:v>Quick Ratio</x:v>
      </x:c>
      <x:c r="C11" s="128" t="str">
        <x:v>(Current Assets - Inventory) / Current Liabilities</x:v>
      </x:c>
      <x:c r="D11" s="186" t="n">
        <x:f>IFERROR(('Financial Statements'!B16-'Financial Statements'!B17)/'Financial Statements'!B18,0)</x:f>
        <x:v>1.0221149018576519</x:v>
      </x:c>
      <x:c r="E11" s="186" t="n">
        <x:f>IFERROR(('Financial Statements'!C16-'Financial Statements'!C17)/'Financial Statements'!C18,0)</x:f>
        <x:v>0.8472353911496149</x:v>
      </x:c>
      <x:c r="F11" s="186" t="n">
        <x:f>IFERROR(('Financial Statements'!D16-'Financial Statements'!D17)/'Financial Statements'!D18,0)</x:f>
        <x:v>0.9444421504665951</x:v>
      </x:c>
      <x:c r="G11" s="186" t="n">
        <x:f>IFERROR(('Financial Statements'!E16-'Financial Statements'!E17)/'Financial Statements'!E18,0)</x:f>
        <x:v>0.8260068483831466</x:v>
      </x:c>
      <x:c r="H11" s="186" t="n">
        <x:f>IFERROR(('Financial Statements'!F16-'Financial Statements'!F17)/'Financial Statements'!F18,0)</x:f>
        <x:v>0.858770399261008</x:v>
      </x:c>
      <x:c r="I11" s="186" t="n">
        <x:f>IFERROR(('Financial Statements'!G16-'Financial Statements'!G17)/'Financial Statements'!G18,0)</x:f>
        <x:v>0.9132859547030556</x:v>
      </x:c>
      <x:c r="J11" s="186" t="n">
        <x:f>IFERROR(('Financial Statements'!H16-'Financial Statements'!H17)/'Financial Statements'!H18,0)</x:f>
        <x:v>0.9132859547030556</x:v>
      </x:c>
      <x:c r="K11" s="186" t="n">
        <x:f>IFERROR(('Financial Statements'!I16-'Financial Statements'!I17)/'Financial Statements'!I18,0)</x:f>
        <x:v>0.9132859547030555</x:v>
      </x:c>
      <x:c r="L11" s="124" t="str">
        <x:v>Stricter liquidity view excluding inventory.</x:v>
      </x:c>
    </x:row>
    <x:row r="12" ht="15" hidden="0" customHeight="1">
      <x:c r="A12" s="146" t="str">
        <x:v>Leverage</x:v>
      </x:c>
      <x:c r="B12" s="128" t="str">
        <x:v>Debt / Equity</x:v>
      </x:c>
      <x:c r="C12" s="128" t="str">
        <x:v>Total Debt / Total Equity</x:v>
      </x:c>
      <x:c r="D12" s="186" t="n">
        <x:f>IFERROR('Financial Statements'!B22/'Financial Statements'!B23,0)</x:f>
        <x:v>1.9768426058012363</x:v>
      </x:c>
      <x:c r="E12" s="186" t="n">
        <x:f>IFERROR('Financial Statements'!C22/'Financial Statements'!C23,0)</x:f>
        <x:v>2.3695334701610355</x:v>
      </x:c>
      <x:c r="F12" s="186" t="n">
        <x:f>IFERROR('Financial Statements'!D22/'Financial Statements'!D23,0)</x:f>
        <x:v>1.7875325845589418</x:v>
      </x:c>
      <x:c r="G12" s="186" t="n">
        <x:f>IFERROR('Financial Statements'!E22/'Financial Statements'!E23,0)</x:f>
        <x:v>1.872326602282704</x:v>
      </x:c>
      <x:c r="H12" s="186" t="n">
        <x:f>IFERROR('Financial Statements'!F22/'Financial Statements'!F23,0)</x:f>
        <x:v>1.3380304612588665</x:v>
      </x:c>
      <x:c r="I12" s="186" t="n">
        <x:f>IFERROR('Financial Statements'!G22/'Financial Statements'!G23,0)</x:f>
        <x:v>1.0216755062631142</x:v>
      </x:c>
      <x:c r="J12" s="186" t="n">
        <x:f>IFERROR('Financial Statements'!H22/'Financial Statements'!H23,0)</x:f>
        <x:v>0.8199171966857526</x:v>
      </x:c>
      <x:c r="K12" s="186" t="n">
        <x:f>IFERROR('Financial Statements'!I22/'Financial Statements'!I23,0)</x:f>
        <x:v>0.6801344663934321</x:v>
      </x:c>
      <x:c r="L12" s="124" t="str">
        <x:v>Debt load relative to equity base.</x:v>
      </x:c>
    </x:row>
    <x:row r="13" ht="15" hidden="0" customHeight="1">
      <x:c r="A13" s="146" t="str">
        <x:v>Leverage</x:v>
      </x:c>
      <x:c r="B13" s="128" t="str">
        <x:v>Debt / Assets</x:v>
      </x:c>
      <x:c r="C13" s="128" t="str">
        <x:v>Total Debt / Total Assets</x:v>
      </x:c>
      <x:c r="D13" s="186" t="n">
        <x:f>IFERROR('Financial Statements'!B22/'Financial Statements'!B24,0)</x:f>
        <x:v>0.35532276169366556</x:v>
      </x:c>
      <x:c r="E13" s="186" t="n">
        <x:f>IFERROR('Financial Statements'!C22/'Financial Statements'!C24,0)</x:f>
        <x:v>0.3403750478377344</x:v>
      </x:c>
      <x:c r="F13" s="186" t="n">
        <x:f>IFERROR('Financial Statements'!D22/'Financial Statements'!D24,0)</x:f>
        <x:v>0.3150690759338936</x:v>
      </x:c>
      <x:c r="G13" s="186" t="n">
        <x:f>IFERROR('Financial Statements'!E22/'Financial Statements'!E24,0)</x:f>
        <x:v>0.29215025480848267</x:v>
      </x:c>
      <x:c r="H13" s="186" t="n">
        <x:f>IFERROR('Financial Statements'!F22/'Financial Statements'!F24,0)</x:f>
        <x:v>0.2746262258483859</x:v>
      </x:c>
      <x:c r="I13" s="186" t="n">
        <x:f>IFERROR('Financial Statements'!G22/'Financial Statements'!G24,0)</x:f>
        <x:v>0.2701752506467862</x:v>
      </x:c>
      <x:c r="J13" s="186" t="n">
        <x:f>IFERROR('Financial Statements'!H22/'Financial Statements'!H24,0)</x:f>
        <x:v>0.2656967489216855</x:v>
      </x:c>
      <x:c r="K13" s="186" t="n">
        <x:f>IFERROR('Financial Statements'!I22/'Financial Statements'!I24,0)</x:f>
        <x:v>0.2611939389729033</x:v>
      </x:c>
      <x:c r="L13" s="124" t="str">
        <x:v>Share of assets financed by debt.</x:v>
      </x:c>
    </x:row>
    <x:row r="14" ht="15" hidden="0" customHeight="1">
      <x:c r="A14" s="146" t="str">
        <x:v>Leverage</x:v>
      </x:c>
      <x:c r="B14" s="128" t="str">
        <x:v>Net Debt / EBITDA</x:v>
      </x:c>
      <x:c r="C14" s="128" t="str">
        <x:v>(Total Debt - Cash) / EBITDA</x:v>
      </x:c>
      <x:c r="D14" s="186" t="n">
        <x:f>IFERROR(('Financial Statements'!B22-'Financial Statements'!B15)/'Financial Statements'!B10,0)</x:f>
        <x:v>0.7467084743789143</x:v>
      </x:c>
      <x:c r="E14" s="186" t="n">
        <x:f>IFERROR(('Financial Statements'!C22-'Financial Statements'!C15)/'Financial Statements'!C10,0)</x:f>
        <x:v>0.738641499605488</x:v>
      </x:c>
      <x:c r="F14" s="186" t="n">
        <x:f>IFERROR(('Financial Statements'!D22-'Financial Statements'!D15)/'Financial Statements'!D10,0)</x:f>
        <x:v>0.6447544110634239</x:v>
      </x:c>
      <x:c r="G14" s="186" t="n">
        <x:f>IFERROR(('Financial Statements'!E22-'Financial Statements'!E15)/'Financial Statements'!E10,0)</x:f>
        <x:v>0.5694744580836323</x:v>
      </x:c>
      <x:c r="H14" s="186" t="n">
        <x:f>IFERROR(('Financial Statements'!F22-'Financial Statements'!F15)/'Financial Statements'!F10,0)</x:f>
        <x:v>0.43332550363390165</x:v>
      </x:c>
      <x:c r="I14" s="186" t="n">
        <x:f>IFERROR(('Financial Statements'!G22-'Financial Statements'!G15)/'Financial Statements'!G10,0)</x:f>
        <x:v>-0.2674676406384932</x:v>
      </x:c>
      <x:c r="J14" s="186" t="n">
        <x:f>IFERROR(('Financial Statements'!H22-'Financial Statements'!H15)/'Financial Statements'!H10,0)</x:f>
        <x:v>-0.9410884696678705</x:v>
      </x:c>
      <x:c r="K14" s="186" t="n">
        <x:f>IFERROR(('Financial Statements'!I22-'Financial Statements'!I15)/'Financial Statements'!I10,0)</x:f>
        <x:v>-1.588800805273041</x:v>
      </x:c>
      <x:c r="L14" s="124" t="str">
        <x:v>Net leverage after available cash.</x:v>
      </x:c>
    </x:row>
    <x:row r="15" ht="15" hidden="0" customHeight="1">
      <x:c r="A15" s="146" t="str">
        <x:v>Leverage</x:v>
      </x:c>
      <x:c r="B15" s="128" t="str">
        <x:v>Total Debt / EBITDA</x:v>
      </x:c>
      <x:c r="C15" s="128" t="str">
        <x:v>Total Debt / EBITDA</x:v>
      </x:c>
      <x:c r="D15" s="186" t="n">
        <x:f>IFERROR('Financial Statements'!B22/'Financial Statements'!B10,0)</x:f>
        <x:v>1.03731088802575</x:v>
      </x:c>
      <x:c r="E15" s="186" t="n">
        <x:f>IFERROR('Financial Statements'!C22/'Financial Statements'!C10,0)</x:f>
        <x:v>0.9197799924927801</x:v>
      </x:c>
      <x:c r="F15" s="186" t="n">
        <x:f>IFERROR('Financial Statements'!D22/'Financial Statements'!D10,0)</x:f>
        <x:v>0.8829120966460022</x:v>
      </x:c>
      <x:c r="G15" s="186" t="n">
        <x:f>IFERROR('Financial Statements'!E22/'Financial Statements'!E10,0)</x:f>
        <x:v>0.791832824648562</x:v>
      </x:c>
      <x:c r="H15" s="186" t="n">
        <x:f>IFERROR('Financial Statements'!F22/'Financial Statements'!F10,0)</x:f>
        <x:v>0.6815776383784232</x:v>
      </x:c>
      <x:c r="I15" s="186" t="n">
        <x:f>IFERROR('Financial Statements'!G22/'Financial Statements'!G10,0)</x:f>
        <x:v>0.6550190690732619</x:v>
      </x:c>
      <x:c r="J15" s="186" t="n">
        <x:f>IFERROR('Financial Statements'!H22/'Financial Statements'!H10,0)</x:f>
        <x:v>0.6298260279550595</x:v>
      </x:c>
      <x:c r="K15" s="186" t="n">
        <x:f>IFERROR('Financial Statements'!I22/'Financial Statements'!I10,0)</x:f>
        <x:v>0.605601949956788</x:v>
      </x:c>
      <x:c r="L15" s="124" t="str">
        <x:v>Debt relative to operating earnings.</x:v>
      </x:c>
    </x:row>
    <x:row r="16" ht="15" hidden="0" customHeight="1">
      <x:c r="A16" s="146" t="str">
        <x:v>Debt Service</x:v>
      </x:c>
      <x:c r="B16" s="128" t="str">
        <x:v>EBIT / Cash Interest Proxy</x:v>
      </x:c>
      <x:c r="C16" s="128" t="str">
        <x:v>EBIT / Cash Interest Proxy</x:v>
      </x:c>
      <x:c r="D16" s="186" t="n">
        <x:f>IFERROR('Financial Statements'!B11/'Financial Statements'!B12,0)</x:f>
        <x:v>40.54670636397469</x:v>
      </x:c>
      <x:c r="E16" s="186" t="n">
        <x:f>IFERROR('Financial Statements'!C11/'Financial Statements'!C12,0)</x:f>
        <x:v>41.68830715532286</x:v>
      </x:c>
      <x:c r="F16" s="186" t="n">
        <x:f>IFERROR('Financial Statements'!D11/'Financial Statements'!D12,0)</x:f>
        <x:v>29.062039155860667</x:v>
      </x:c>
      <x:c r="G16" s="186" t="n">
        <x:f>IFERROR('Financial Statements'!E11/'Financial Statements'!E12,0)</x:f>
        <x:v>41.072</x:v>
      </x:c>
      <x:c r="H16" s="186" t="n">
        <x:f>IFERROR('Financial Statements'!F11/'Financial Statements'!F12,0)</x:f>
        <x:v>51.17307692307692</x:v>
      </x:c>
      <x:c r="I16" s="186" t="n">
        <x:f>IFERROR('Financial Statements'!G11/'Financial Statements'!G12,0)</x:f>
        <x:v>53.26860799999999</x:v>
      </x:c>
      <x:c r="J16" s="186" t="n">
        <x:f>IFERROR('Financial Statements'!H11/'Financial Statements'!H12,0)</x:f>
        <x:v>55.39935231999999</x:v>
      </x:c>
      <x:c r="K16" s="186" t="n">
        <x:f>IFERROR('Financial Statements'!I11/'Financial Statements'!I12,0)</x:f>
        <x:v>57.615326412799995</x:v>
      </x:c>
      <x:c r="L16" s="124" t="str">
        <x:v>Earnings cushion using the cash-interest proxy; educational analytical proxy, not conventional GAAP interest coverage.</x:v>
      </x:c>
    </x:row>
    <x:row r="17" ht="15" hidden="0" customHeight="1">
      <x:c r="A17" s="146" t="str">
        <x:v>Debt Service</x:v>
      </x:c>
      <x:c r="B17" s="128" t="str">
        <x:v>EBITDA / Cash Interest Proxy</x:v>
      </x:c>
      <x:c r="C17" s="128" t="str">
        <x:v>EBITDA / Cash Interest Proxy</x:v>
      </x:c>
      <x:c r="D17" s="186" t="n">
        <x:f>IFERROR('Financial Statements'!B10/'Financial Statements'!B12,0)</x:f>
        <x:v>44.746185336806846</x:v>
      </x:c>
      <x:c r="E17" s="186" t="n">
        <x:f>IFERROR('Financial Statements'!C10/'Financial Statements'!C12,0)</x:f>
        <x:v>45.56404886561955</x:v>
      </x:c>
      <x:c r="F17" s="186" t="n">
        <x:f>IFERROR('Financial Statements'!D10/'Financial Statements'!D12,0)</x:f>
        <x:v>31.990846681922196</x:v>
      </x:c>
      <x:c r="G17" s="186" t="n">
        <x:f>IFERROR('Financial Statements'!E10/'Financial Statements'!E12,0)</x:f>
        <x:v>44.887</x:v>
      </x:c>
      <x:c r="H17" s="186" t="n">
        <x:f>IFERROR('Financial Statements'!F10/'Financial Statements'!F12,0)</x:f>
        <x:v>55.67230769230769</x:v>
      </x:c>
      <x:c r="I17" s="186" t="n">
        <x:f>IFERROR('Financial Statements'!G10/'Financial Statements'!G12,0)</x:f>
        <x:v>57.9296112</x:v>
      </x:c>
      <x:c r="J17" s="186" t="n">
        <x:f>IFERROR('Financial Statements'!H10/'Financial Statements'!H12,0)</x:f>
        <x:v>60.246795647999996</x:v>
      </x:c>
      <x:c r="K17" s="186" t="n">
        <x:f>IFERROR('Financial Statements'!I10/'Financial Statements'!I12,0)</x:f>
        <x:v>62.656667473919995</x:v>
      </x:c>
      <x:c r="L17" s="124" t="str">
        <x:v>Pre-D&amp;A earnings cushion using the cash-interest proxy.</x:v>
      </x:c>
    </x:row>
    <x:row r="18" ht="15" hidden="0" customHeight="1">
      <x:c r="A18" s="146" t="str">
        <x:v>Debt Service</x:v>
      </x:c>
      <x:c r="B18" s="128" t="str">
        <x:v>EBIT / Cash Interest Proxy</x:v>
      </x:c>
      <x:c r="C18" s="128" t="str">
        <x:v>EBIT / Cash Interest Proxy</x:v>
      </x:c>
      <x:c r="D18" s="186" t="n">
        <x:f>IFERROR('Financial Statements'!B11/'Financial Statements'!B12,0)</x:f>
        <x:v>40.54670636397469</x:v>
      </x:c>
      <x:c r="E18" s="186" t="n">
        <x:f>IFERROR('Financial Statements'!C11/'Financial Statements'!C12,0)</x:f>
        <x:v>41.68830715532286</x:v>
      </x:c>
      <x:c r="F18" s="186" t="n">
        <x:f>IFERROR('Financial Statements'!D11/'Financial Statements'!D12,0)</x:f>
        <x:v>29.062039155860667</x:v>
      </x:c>
      <x:c r="G18" s="186" t="n">
        <x:f>IFERROR('Financial Statements'!E11/'Financial Statements'!E12,0)</x:f>
        <x:v>41.072</x:v>
      </x:c>
      <x:c r="H18" s="186" t="n">
        <x:f>IFERROR('Financial Statements'!F11/'Financial Statements'!F12,0)</x:f>
        <x:v>51.17307692307692</x:v>
      </x:c>
      <x:c r="I18" s="186" t="n">
        <x:f>IFERROR('Financial Statements'!G11/'Financial Statements'!G12,0)</x:f>
        <x:v>53.26860799999999</x:v>
      </x:c>
      <x:c r="J18" s="186" t="n">
        <x:f>IFERROR('Financial Statements'!H11/'Financial Statements'!H12,0)</x:f>
        <x:v>55.39935231999999</x:v>
      </x:c>
      <x:c r="K18" s="186" t="n">
        <x:f>IFERROR('Financial Statements'!I11/'Financial Statements'!I12,0)</x:f>
        <x:v>57.615326412799995</x:v>
      </x:c>
      <x:c r="L18" s="124" t="str">
        <x:v>Duplicate EBIT-based debt-service view retained for interview clarity.</x:v>
      </x:c>
    </x:row>
    <x:row r="19" ht="15" hidden="0" customHeight="1">
      <x:c r="A19" s="146" t="str">
        <x:v>Cash Flow</x:v>
      </x:c>
      <x:c r="B19" s="128" t="str">
        <x:v>Operating Cash Flow / Debt</x:v>
      </x:c>
      <x:c r="C19" s="128" t="str">
        <x:v>OCF / Total Debt</x:v>
      </x:c>
      <x:c r="D19" s="167" t="n">
        <x:f>IFERROR('Financial Statements'!B25/'Financial Statements'!B22,0)</x:f>
        <x:v>0.8341792349201004</x:v>
      </x:c>
      <x:c r="E19" s="167" t="n">
        <x:f>IFERROR('Financial Statements'!C25/'Financial Statements'!C22,0)</x:f>
        <x:v>1.0173400294830472</x:v>
      </x:c>
      <x:c r="F19" s="167" t="n">
        <x:f>IFERROR('Financial Statements'!D25/'Financial Statements'!D22,0)</x:f>
        <x:v>0.9950939795477459</x:v>
      </x:c>
      <x:c r="G19" s="167" t="n">
        <x:f>IFERROR('Financial Statements'!E25/'Financial Statements'!E22,0)</x:f>
        <x:v>1.109022873702276</x:v>
      </x:c>
      <x:c r="H19" s="167" t="n">
        <x:f>IFERROR('Financial Statements'!F25/'Financial Statements'!F22,0)</x:f>
        <x:v>1.1299958441874374</x:v>
      </x:c>
      <x:c r="I19" s="167" t="n">
        <x:f>IFERROR('Financial Statements'!G25/'Financial Statements'!G22,0)</x:f>
        <x:v>1.1757137752009488</x:v>
      </x:c>
      <x:c r="J19" s="167" t="n">
        <x:f>IFERROR('Financial Statements'!H25/'Financial Statements'!H22,0)</x:f>
        <x:v>1.2227423262089867</x:v>
      </x:c>
      <x:c r="K19" s="167" t="n">
        <x:f>IFERROR('Financial Statements'!I25/'Financial Statements'!I22,0)</x:f>
        <x:v>1.2716520192573462</x:v>
      </x:c>
      <x:c r="L19" s="124" t="str">
        <x:v>Cash generated by operations relative to debt.</x:v>
      </x:c>
    </x:row>
    <x:row r="20" ht="15" hidden="0" customHeight="1">
      <x:c r="A20" s="146" t="str">
        <x:v>Cash Flow</x:v>
      </x:c>
      <x:c r="B20" s="128" t="str">
        <x:v>Free Cash Flow</x:v>
      </x:c>
      <x:c r="C20" s="128" t="str">
        <x:v>OCF + CapEx</x:v>
      </x:c>
      <x:c r="D20" s="143" t="n">
        <x:f>'Financial Statements'!B27</x:f>
        <x:v>92953</x:v>
      </x:c>
      <x:c r="E20" s="143" t="n">
        <x:f>'Financial Statements'!C27</x:f>
        <x:v>111443</x:v>
      </x:c>
      <x:c r="F20" s="143" t="n">
        <x:f>'Financial Statements'!D27</x:f>
        <x:v>99584</x:v>
      </x:c>
      <x:c r="G20" s="143" t="n">
        <x:f>'Financial Statements'!E27</x:f>
        <x:v>108807</x:v>
      </x:c>
      <x:c r="H20" s="143" t="n">
        <x:f>'Financial Statements'!F27</x:f>
        <x:v>98767</x:v>
      </x:c>
      <x:c r="I20" s="143" t="n">
        <x:f>'Financial Statements'!G27</x:f>
        <x:v>103008.17072</x:v>
      </x:c>
      <x:c r="J20" s="143" t="n">
        <x:f>'Financial Statements'!H27</x:f>
        <x:v>107128.4975488</x:v>
      </x:c>
      <x:c r="K20" s="143" t="n">
        <x:f>'Financial Statements'!I27</x:f>
        <x:v>111413.63745075201</x:v>
      </x:c>
      <x:c r="L20" s="124" t="str">
        <x:v>Cash after capital expenditure.</x:v>
      </x:c>
    </x:row>
    <x:row r="21" ht="15" hidden="0" customHeight="1">
      <x:c r="A21" s="147" t="str">
        <x:v>Cash Flow</x:v>
      </x:c>
      <x:c r="B21" s="136" t="str">
        <x:v>Free Cash Flow / Debt</x:v>
      </x:c>
      <x:c r="C21" s="136" t="str">
        <x:v>FCF / Total Debt</x:v>
      </x:c>
      <x:c r="D21" s="177" t="n">
        <x:f>IFERROR('Financial Statements'!B27/'Financial Statements'!B22,0)</x:f>
        <x:v>0.7452994331256665</x:v>
      </x:c>
      <x:c r="E21" s="177" t="n">
        <x:f>IFERROR('Financial Statements'!C27/'Financial Statements'!C22,0)</x:f>
        <x:v>0.9281579758305641</x:v>
      </x:c>
      <x:c r="F21" s="177" t="n">
        <x:f>IFERROR('Financial Statements'!D27/'Financial Statements'!D22,0)</x:f>
        <x:v>0.8964424600316866</x:v>
      </x:c>
      <x:c r="G21" s="177" t="n">
        <x:f>IFERROR('Financial Statements'!E27/'Financial Statements'!E22,0)</x:f>
        <x:v>1.0204259629181556</x:v>
      </x:c>
      <x:c r="H21" s="177" t="n">
        <x:f>IFERROR('Financial Statements'!F27/'Financial Statements'!F22,0)</x:f>
        <x:v>1.0011149741021925</x:v>
      </x:c>
      <x:c r="I21" s="177" t="n">
        <x:f>IFERROR('Financial Statements'!G27/'Financial Statements'!G22,0)</x:f>
        <x:v>1.0441040242456185</x:v>
      </x:c>
      <x:c r="J21" s="177" t="n">
        <x:f>IFERROR('Financial Statements'!H27/'Financial Statements'!H22,0)</x:f>
        <x:v>1.0858681852154435</x:v>
      </x:c>
      <x:c r="K21" s="177" t="n">
        <x:f>IFERROR('Financial Statements'!I27/'Financial Statements'!I22,0)</x:f>
        <x:v>1.1293029126240612</x:v>
      </x:c>
      <x:c r="L21" s="126" t="str">
        <x:v>Approximate repayment capacity screen.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85" hidden="0" customWidth="1"/>
  </x:cols>
  <x:sheetData>
    <x:row r="1" ht="15" hidden="0" customHeight="1">
      <x:c r="A1" s="119" t="str">
        <x:v>Risk Assessment - Rule-Based Flags and Weighted Score</x:v>
      </x:c>
      <x:c r="B1" s="119" t="str">
        <x:v>Risk Assessment - Rule-Based Flags and Weighted Score</x:v>
      </x:c>
      <x:c r="C1" s="119" t="str">
        <x:v>Risk Assessment - Rule-Based Flags and Weighted Score</x:v>
      </x:c>
      <x:c r="D1" s="119" t="str">
        <x:v>Risk Assessment - Rule-Based Flags and Weighted Score</x:v>
      </x:c>
      <x:c r="E1" s="119" t="str">
        <x:v>Risk Assessment - Rule-Based Flags and Weighted Score</x:v>
      </x:c>
      <x:c r="F1" s="119" t="str">
        <x:v>Risk Assessment - Rule-Based Flags and Weighted Score</x:v>
      </x:c>
      <x:c r="G1" s="119" t="str">
        <x:v>Risk Assessment - Rule-Based Flags and Weighted Score</x:v>
      </x:c>
      <x:c r="H1" s="119" t="str">
        <x:v>Risk Assessment - Rule-Based Flags and Weighted Score</x:v>
      </x:c>
    </x:row>
    <x:row r="2" ht="15" hidden="0" customHeight="1">
      <x:c r="A2" s="128"/>
      <x:c r="B2" s="128"/>
      <x:c r="C2" s="128"/>
      <x:c r="D2" s="128"/>
      <x:c r="E2" s="128"/>
      <x:c r="F2" s="128"/>
      <x:c r="G2" s="128"/>
      <x:c r="H2" s="128"/>
    </x:row>
    <x:row r="3" ht="15" hidden="0" customHeight="1">
      <x:c r="A3" s="129" t="str">
        <x:v>Category</x:v>
      </x:c>
      <x:c r="B3" s="130" t="str">
        <x:v>Metric</x:v>
      </x:c>
      <x:c r="C3" s="130" t="str">
        <x:v>2025A Actual</x:v>
      </x:c>
      <x:c r="D3" s="130" t="str">
        <x:v>2026E Scenario</x:v>
      </x:c>
      <x:c r="E3" s="130" t="str">
        <x:v>Threshold Used</x:v>
      </x:c>
      <x:c r="F3" s="130" t="str">
        <x:v>Risk Flag</x:v>
      </x:c>
      <x:c r="G3" s="130" t="str">
        <x:v>Score</x:v>
      </x:c>
      <x:c r="H3" s="131" t="str">
        <x:v>Explanation</x:v>
      </x:c>
    </x:row>
    <x:row r="4" ht="36" hidden="0" customHeight="1">
      <x:c r="A4" s="146" t="str">
        <x:v>Profitability</x:v>
      </x:c>
      <x:c r="B4" s="128" t="str">
        <x:v>EBITDA Margin</x:v>
      </x:c>
      <x:c r="C4" s="167" t="n">
        <x:f>'Ratio Analysis'!H5</x:f>
        <x:v>0.3478173110887373</x:v>
      </x:c>
      <x:c r="D4" s="167" t="n">
        <x:f>'Ratio Analysis'!I5</x:f>
        <x:v>0.348</x:v>
      </x:c>
      <x:c r="E4" s="128" t="str">
        <x:v>Strong &gt;=25%; Moderate 15%-25%; Elevated &lt;15%</x:v>
      </x:c>
      <x:c r="F4" s="128" t="str">
        <x:f>IF(D4&gt;=25%,"Strong",IF(D4&gt;=15%,"Moderate","Elevated"))</x:f>
        <x:v>Strong</x:v>
      </x:c>
      <x:c r="G4" s="128" t="n">
        <x:f>IF(F4="Strong",1,IF(F4="Moderate",2,3))</x:f>
        <x:v>1</x:v>
      </x:c>
      <x:c r="H4" s="124" t="str">
        <x:v>Tests operating margin cushion.</x:v>
      </x:c>
    </x:row>
    <x:row r="5" ht="48" hidden="0" customHeight="1">
      <x:c r="A5" s="146" t="str">
        <x:v>Liquidity</x:v>
      </x:c>
      <x:c r="B5" s="128" t="str">
        <x:v>Current Ratio</x:v>
      </x:c>
      <x:c r="C5" s="186" t="n">
        <x:f>'Ratio Analysis'!H10</x:f>
        <x:v>0.8932929222186667</x:v>
      </x:c>
      <x:c r="D5" s="186" t="n">
        <x:f>'Ratio Analysis'!I10</x:f>
        <x:v>0.95</x:v>
      </x:c>
      <x:c r="E5" s="128" t="str">
        <x:v>Strong &gt;=1.25x; Moderate 1.00x-1.25x; Elevated &lt;1.00x</x:v>
      </x:c>
      <x:c r="F5" s="128" t="str">
        <x:f>IF(D5&gt;=1.25,"Strong",IF(D5&gt;=1,"Moderate","Elevated"))</x:f>
        <x:v>Elevated</x:v>
      </x:c>
      <x:c r="G5" s="128" t="n">
        <x:f>IF(F5="Strong",1,IF(F5="Moderate",2,3))</x:f>
        <x:v>3</x:v>
      </x:c>
      <x:c r="H5" s="124" t="str">
        <x:v>Flags short-term asset coverage.</x:v>
      </x:c>
    </x:row>
    <x:row r="6" ht="36" hidden="0" customHeight="1">
      <x:c r="A6" s="146" t="str">
        <x:v>Leverage</x:v>
      </x:c>
      <x:c r="B6" s="128" t="str">
        <x:v>Net Debt / EBITDA</x:v>
      </x:c>
      <x:c r="C6" s="186" t="n">
        <x:f>'Ratio Analysis'!H14</x:f>
        <x:v>0.43332550363390165</x:v>
      </x:c>
      <x:c r="D6" s="186" t="n">
        <x:f>'Ratio Analysis'!I14</x:f>
        <x:v>-0.2674676406384932</x:v>
      </x:c>
      <x:c r="E6" s="128" t="str">
        <x:v>Strong &lt;=0.5x; Moderate 0.5x-1.5x; Elevated &gt;1.5x</x:v>
      </x:c>
      <x:c r="F6" s="128" t="str">
        <x:f>IF(D6&lt;=0.5,"Strong",IF(D6&lt;=1.5,"Moderate","Elevated"))</x:f>
        <x:v>Strong</x:v>
      </x:c>
      <x:c r="G6" s="128" t="n">
        <x:f>IF(F6="Strong",1,IF(F6="Moderate",2,3))</x:f>
        <x:v>1</x:v>
      </x:c>
      <x:c r="H6" s="124" t="str">
        <x:v>Net debt compared with earnings capacity.</x:v>
      </x:c>
    </x:row>
    <x:row r="7" ht="36" hidden="0" customHeight="1">
      <x:c r="A7" s="146" t="str">
        <x:v>Leverage</x:v>
      </x:c>
      <x:c r="B7" s="128" t="str">
        <x:v>Total Debt / EBITDA</x:v>
      </x:c>
      <x:c r="C7" s="186" t="n">
        <x:f>'Ratio Analysis'!H15</x:f>
        <x:v>0.6815776383784232</x:v>
      </x:c>
      <x:c r="D7" s="186" t="n">
        <x:f>'Ratio Analysis'!I15</x:f>
        <x:v>0.6550190690732619</x:v>
      </x:c>
      <x:c r="E7" s="128" t="str">
        <x:v>Strong &lt;=1.0x; Moderate 1.0x-2.0x; Elevated &gt;2.0x</x:v>
      </x:c>
      <x:c r="F7" s="128" t="str">
        <x:f>IF(D7&lt;=1,"Strong",IF(D7&lt;=2,"Moderate","Elevated"))</x:f>
        <x:v>Strong</x:v>
      </x:c>
      <x:c r="G7" s="128" t="n">
        <x:f>IF(F7="Strong",1,IF(F7="Moderate",2,3))</x:f>
        <x:v>1</x:v>
      </x:c>
      <x:c r="H7" s="124" t="str">
        <x:v>Gross debt burden before cash offset.</x:v>
      </x:c>
    </x:row>
    <x:row r="8" ht="36" hidden="0" customHeight="1">
      <x:c r="A8" s="146" t="str">
        <x:v>Debt Service</x:v>
      </x:c>
      <x:c r="B8" s="128" t="str">
        <x:v>EBIT / Cash Interest Proxy</x:v>
      </x:c>
      <x:c r="C8" s="186" t="n">
        <x:f>'Ratio Analysis'!H16</x:f>
        <x:v>51.17307692307692</x:v>
      </x:c>
      <x:c r="D8" s="186" t="n">
        <x:f>'Ratio Analysis'!I16</x:f>
        <x:v>53.26860799999999</x:v>
      </x:c>
      <x:c r="E8" s="128" t="str">
        <x:v>Strong &gt;=8.0x; Moderate 4.0x-8.0x; Elevated &lt;4.0x</x:v>
      </x:c>
      <x:c r="F8" s="128" t="str">
        <x:f>IF(D8&gt;=8,"Strong",IF(D8&gt;=4,"Moderate","Elevated"))</x:f>
        <x:v>Strong</x:v>
      </x:c>
      <x:c r="G8" s="128" t="n">
        <x:f>IF(F8="Strong",1,IF(F8="Moderate",2,3))</x:f>
        <x:v>1</x:v>
      </x:c>
      <x:c r="H8" s="124" t="str">
        <x:v>Capacity to cover the cash-interest proxy; not conventional GAAP interest coverage.</x:v>
      </x:c>
    </x:row>
    <x:row r="9" ht="36" hidden="0" customHeight="1">
      <x:c r="A9" s="146" t="str">
        <x:v>Cash Flow</x:v>
      </x:c>
      <x:c r="B9" s="128" t="str">
        <x:v>FCF / Debt</x:v>
      </x:c>
      <x:c r="C9" s="167" t="n">
        <x:f>'Ratio Analysis'!H21</x:f>
        <x:v>1.0011149741021925</x:v>
      </x:c>
      <x:c r="D9" s="167" t="n">
        <x:f>'Ratio Analysis'!I21</x:f>
        <x:v>1.0441040242456185</x:v>
      </x:c>
      <x:c r="E9" s="128" t="str">
        <x:v>Strong &gt;=50%; Moderate 25%-50%; Elevated &lt;25%</x:v>
      </x:c>
      <x:c r="F9" s="128" t="str">
        <x:f>IF(D9&gt;=50%,"Strong",IF(D9&gt;=25%,"Moderate","Elevated"))</x:f>
        <x:v>Strong</x:v>
      </x:c>
      <x:c r="G9" s="128" t="n">
        <x:f>IF(F9="Strong",1,IF(F9="Moderate",2,3))</x:f>
        <x:v>1</x:v>
      </x:c>
      <x:c r="H9" s="124" t="str">
        <x:v>Cash generation after capex relative to debt.</x:v>
      </x:c>
    </x:row>
    <x:row r="10" ht="36" hidden="0" customHeight="1">
      <x:c r="A10" s="147" t="str">
        <x:v>Trend</x:v>
      </x:c>
      <x:c r="B10" s="136" t="str">
        <x:v>Revenue 3Y Direction</x:v>
      </x:c>
      <x:c r="C10" s="177" t="n">
        <x:f>IFERROR(('Financial Statements'!F4/'Financial Statements'!D4)^(1/2)-1,0)</x:f>
        <x:v>0.04200493918237114</x:v>
      </x:c>
      <x:c r="D10" s="177" t="n">
        <x:f>IFERROR(('Financial Statements'!G4/'Financial Statements'!F4)-1,0)</x:f>
        <x:v>0.040000000000000036</x:v>
      </x:c>
      <x:c r="E10" s="136" t="str">
        <x:v>Strong &gt;=3%; Moderate 0%-3%; Elevated &lt;0%</x:v>
      </x:c>
      <x:c r="F10" s="136" t="str">
        <x:f>IF(D10&gt;=3%,"Strong",IF(D10&gt;=0%,"Moderate","Elevated"))</x:f>
        <x:v>Strong</x:v>
      </x:c>
      <x:c r="G10" s="136" t="n">
        <x:f>IF(F10="Strong",1,IF(F10="Moderate",2,3))</x:f>
        <x:v>1</x:v>
      </x:c>
      <x:c r="H10" s="126" t="str">
        <x:v>Trend risk is flagged only when data supports deterioration.</x:v>
      </x:c>
    </x:row>
    <x:row r="11" ht="15" hidden="0" customHeight="1">
      <x:c r="A11" s="128"/>
      <x:c r="B11" s="128"/>
      <x:c r="C11" s="128"/>
      <x:c r="D11" s="128"/>
      <x:c r="E11" s="128"/>
      <x:c r="F11" s="128"/>
      <x:c r="G11" s="128"/>
      <x:c r="H11" s="128"/>
    </x:row>
    <x:row r="12" ht="15" hidden="0" customHeight="1">
      <x:c r="A12" s="128"/>
      <x:c r="B12" s="128"/>
      <x:c r="C12" s="128"/>
      <x:c r="D12" s="128"/>
      <x:c r="E12" s="128"/>
      <x:c r="F12" s="128"/>
      <x:c r="G12" s="128"/>
      <x:c r="H12" s="128"/>
    </x:row>
    <x:row r="13" ht="15" hidden="0" customHeight="1">
      <x:c r="A13" s="127" t="str">
        <x:v>Weighted Overall Risk Score</x:v>
      </x:c>
      <x:c r="B13" s="127" t="str">
        <x:v>Weighted Overall Risk Score</x:v>
      </x:c>
      <x:c r="C13" s="127" t="str">
        <x:v>Weighted Overall Risk Score</x:v>
      </x:c>
      <x:c r="D13" s="127" t="str">
        <x:v>Weighted Overall Risk Score</x:v>
      </x:c>
      <x:c r="E13" s="127" t="str">
        <x:v>Weighted Overall Risk Score</x:v>
      </x:c>
      <x:c r="F13" s="127" t="str">
        <x:v>Weighted Overall Risk Score</x:v>
      </x:c>
      <x:c r="G13" s="127" t="str">
        <x:v>Weighted Overall Risk Score</x:v>
      </x:c>
      <x:c r="H13" s="127" t="str">
        <x:v>Weighted Overall Risk Score</x:v>
      </x:c>
    </x:row>
    <x:row r="14" ht="15" hidden="0" customHeight="1">
      <x:c r="A14" s="129" t="str">
        <x:v>Category</x:v>
      </x:c>
      <x:c r="B14" s="130" t="str">
        <x:v>Weight</x:v>
      </x:c>
      <x:c r="C14" s="130" t="str">
        <x:v>Score Input</x:v>
      </x:c>
      <x:c r="D14" s="131" t="str">
        <x:v>Weighted Score</x:v>
      </x:c>
      <x:c r="E14" s="128"/>
      <x:c r="F14" s="187" t="str">
        <x:v>Score Band</x:v>
      </x:c>
      <x:c r="G14" s="188" t="str">
        <x:v>Result</x:v>
      </x:c>
      <x:c r="H14" s="122" t="str">
        <x:v>Definition</x:v>
      </x:c>
    </x:row>
    <x:row r="15" ht="15" hidden="0" customHeight="1">
      <x:c r="A15" s="146" t="str">
        <x:v>Profitability</x:v>
      </x:c>
      <x:c r="B15" s="167" t="n">
        <x:f>'Assumptions'!B33</x:f>
        <x:v>0.15</x:v>
      </x:c>
      <x:c r="C15" s="189" t="n">
        <x:f>G4</x:f>
        <x:v>1</x:v>
      </x:c>
      <x:c r="D15" s="190" t="n">
        <x:f>B15*C15</x:f>
        <x:v>0.15</x:v>
      </x:c>
      <x:c r="E15" s="128"/>
      <x:c r="F15" s="146" t="str">
        <x:v>1.00-1.50</x:v>
      </x:c>
      <x:c r="G15" s="128" t="str">
        <x:v>Low Risk</x:v>
      </x:c>
      <x:c r="H15" s="124" t="str">
        <x:v>Most selected indicators are strong.</x:v>
      </x:c>
    </x:row>
    <x:row r="16" ht="15" hidden="0" customHeight="1">
      <x:c r="A16" s="146" t="str">
        <x:v>Liquidity</x:v>
      </x:c>
      <x:c r="B16" s="167" t="n">
        <x:f>'Assumptions'!B34</x:f>
        <x:v>0.2</x:v>
      </x:c>
      <x:c r="C16" s="189" t="n">
        <x:f>G5</x:f>
        <x:v>3</x:v>
      </x:c>
      <x:c r="D16" s="190" t="n">
        <x:f>B16*C16</x:f>
        <x:v>0.6000000000000001</x:v>
      </x:c>
      <x:c r="E16" s="128"/>
      <x:c r="F16" s="146" t="str">
        <x:v>1.50-2.25</x:v>
      </x:c>
      <x:c r="G16" s="128" t="str">
        <x:v>Moderate Risk</x:v>
      </x:c>
      <x:c r="H16" s="124" t="str">
        <x:v>Some indicators require monitoring.</x:v>
      </x:c>
    </x:row>
    <x:row r="17" ht="15" hidden="0" customHeight="1">
      <x:c r="A17" s="146" t="str">
        <x:v>Leverage</x:v>
      </x:c>
      <x:c r="B17" s="167" t="n">
        <x:f>'Assumptions'!B35</x:f>
        <x:v>0.25</x:v>
      </x:c>
      <x:c r="C17" s="189" t="n">
        <x:f>AVERAGE(G6:G7)</x:f>
        <x:v>1</x:v>
      </x:c>
      <x:c r="D17" s="190" t="n">
        <x:f>B17*C17</x:f>
        <x:v>0.25</x:v>
      </x:c>
      <x:c r="E17" s="128"/>
      <x:c r="F17" s="146" t="str">
        <x:v>&gt;2.25</x:v>
      </x:c>
      <x:c r="G17" s="128" t="str">
        <x:v>Elevated Risk</x:v>
      </x:c>
      <x:c r="H17" s="124" t="str">
        <x:v>Multiple indicators are weak under scenario assumptions.</x:v>
      </x:c>
    </x:row>
    <x:row r="18" ht="15" hidden="0" customHeight="1">
      <x:c r="A18" s="146" t="str">
        <x:v>Debt Service</x:v>
      </x:c>
      <x:c r="B18" s="167" t="n">
        <x:f>'Assumptions'!B36</x:f>
        <x:v>0.25</x:v>
      </x:c>
      <x:c r="C18" s="189" t="n">
        <x:f>G8</x:f>
        <x:v>1</x:v>
      </x:c>
      <x:c r="D18" s="190" t="n">
        <x:f>B18*C18</x:f>
        <x:v>0.25</x:v>
      </x:c>
      <x:c r="E18" s="128"/>
      <x:c r="F18" s="147" t="str">
        <x:v>Current Model Output</x:v>
      </x:c>
      <x:c r="G18" s="136" t="str">
        <x:f>IF(D20&lt;=1.5,"Low Risk",IF(D20&lt;=2.25,"Moderate Risk","Elevated Risk"))</x:f>
        <x:v>Low Risk</x:v>
      </x:c>
      <x:c r="H18" s="126" t="str">
        <x:v>Formula-driven assessment, not an official credit rating.</x:v>
      </x:c>
    </x:row>
    <x:row r="19" ht="15" hidden="0" customHeight="1">
      <x:c r="A19" s="146" t="str">
        <x:v>Cash Flow</x:v>
      </x:c>
      <x:c r="B19" s="167" t="n">
        <x:f>'Assumptions'!B37</x:f>
        <x:v>0.15</x:v>
      </x:c>
      <x:c r="C19" s="189" t="n">
        <x:f>G9</x:f>
        <x:v>1</x:v>
      </x:c>
      <x:c r="D19" s="190" t="n">
        <x:f>B19*C19</x:f>
        <x:v>0.15</x:v>
      </x:c>
      <x:c r="E19" s="128"/>
      <x:c r="F19" s="128"/>
      <x:c r="G19" s="128"/>
      <x:c r="H19" s="128"/>
    </x:row>
    <x:row r="20" ht="15" hidden="0" customHeight="1">
      <x:c r="A20" s="147" t="str">
        <x:v>Overall Score</x:v>
      </x:c>
      <x:c r="B20" s="136"/>
      <x:c r="C20" s="191"/>
      <x:c r="D20" s="192" t="n">
        <x:f>SUM(D15:D19)</x:f>
        <x:v>1.4</x:v>
      </x:c>
      <x:c r="E20" s="128"/>
      <x:c r="F20" s="128"/>
      <x:c r="G20" s="128"/>
      <x:c r="H20" s="128"/>
    </x:row>
    <x:row r="21" ht="15" hidden="0" customHeight="1">
      <x:c r="A21" s="128"/>
      <x:c r="B21" s="128"/>
      <x:c r="C21" s="128"/>
      <x:c r="D21" s="128"/>
      <x:c r="E21" s="128"/>
      <x:c r="F21" s="128"/>
      <x:c r="G21" s="128"/>
      <x:c r="H21" s="128"/>
    </x:row>
    <x:row r="22" ht="15" hidden="0" customHeight="1">
      <x:c r="A22" s="128"/>
      <x:c r="B22" s="128"/>
      <x:c r="C22" s="128"/>
      <x:c r="D22" s="128"/>
      <x:c r="E22" s="128"/>
      <x:c r="F22" s="128"/>
      <x:c r="G22" s="128"/>
      <x:c r="H22" s="128"/>
    </x:row>
    <x:row r="23" ht="15" hidden="0" customHeight="1">
      <x:c r="A23" s="127" t="str">
        <x:v>Risk Driver Analysis</x:v>
      </x:c>
      <x:c r="B23" s="127" t="str">
        <x:v>Risk Driver Analysis</x:v>
      </x:c>
      <x:c r="C23" s="127" t="str">
        <x:v>Risk Driver Analysis</x:v>
      </x:c>
      <x:c r="D23" s="127" t="str">
        <x:v>Risk Driver Analysis</x:v>
      </x:c>
      <x:c r="E23" s="127" t="str">
        <x:v>Risk Driver Analysis</x:v>
      </x:c>
      <x:c r="F23" s="127" t="str">
        <x:v>Risk Driver Analysis</x:v>
      </x:c>
      <x:c r="G23" s="127" t="str">
        <x:v>Risk Driver Analysis</x:v>
      </x:c>
      <x:c r="H23" s="127" t="str">
        <x:v>Risk Driver Analysis</x:v>
      </x:c>
    </x:row>
    <x:row r="24" ht="15" hidden="0" customHeight="1">
      <x:c r="A24" s="129" t="str">
        <x:v>Risk Driver</x:v>
      </x:c>
      <x:c r="B24" s="130" t="str">
        <x:v>Metric</x:v>
      </x:c>
      <x:c r="C24" s="130" t="str">
        <x:v>Current Value</x:v>
      </x:c>
      <x:c r="D24" s="130" t="str">
        <x:v>Direction</x:v>
      </x:c>
      <x:c r="E24" s="130" t="str">
        <x:v>Severity</x:v>
      </x:c>
      <x:c r="F24" s="131" t="str">
        <x:v>Commentary</x:v>
      </x:c>
      <x:c r="G24" s="128"/>
      <x:c r="H24" s="128"/>
    </x:row>
    <x:row r="25" ht="15" hidden="0" customHeight="1">
      <x:c r="A25" s="146" t="str">
        <x:f>IF(D7&gt;1,"Rising leverage","")</x:f>
      </x:c>
      <x:c r="B25" s="128" t="str">
        <x:v>Total Debt / EBITDA</x:v>
      </x:c>
      <x:c r="C25" s="186" t="n">
        <x:f>D7</x:f>
        <x:v>0.6550190690732619</x:v>
      </x:c>
      <x:c r="D25" s="128" t="str">
        <x:f>IF(D7&gt;C7,"Worsening","Stable/Improving")</x:f>
        <x:v>Stable/Improving</x:v>
      </x:c>
      <x:c r="E25" s="128" t="str">
        <x:f>IF(D7&gt;2,"High",IF(D7&gt;1,"Medium","Low"))</x:f>
        <x:v>Low</x:v>
      </x:c>
      <x:c r="F25" s="124" t="str">
        <x:f>IF(A25="","","Scenario debt/EBITDA is above the strong threshold.")</x:f>
      </x:c>
      <x:c r="G25" s="128"/>
      <x:c r="H25" s="128"/>
    </x:row>
    <x:row r="26" ht="15" hidden="0" customHeight="1">
      <x:c r="A26" s="146" t="str">
        <x:f>IF(D4&lt;25%,"Declining EBITDA margin","")</x:f>
      </x:c>
      <x:c r="B26" s="128" t="str">
        <x:v>EBITDA Margin</x:v>
      </x:c>
      <x:c r="C26" s="186" t="n">
        <x:f>D4</x:f>
        <x:v>0.348</x:v>
      </x:c>
      <x:c r="D26" s="128" t="str">
        <x:f>IF(D4&lt;C4,"Worsening","Stable/Improving")</x:f>
        <x:v>Stable/Improving</x:v>
      </x:c>
      <x:c r="E26" s="128" t="str">
        <x:f>IF(D4&lt;15%,"High",IF(D4&lt;25%,"Medium","Low"))</x:f>
        <x:v>Low</x:v>
      </x:c>
      <x:c r="F26" s="124" t="str">
        <x:f>IF(A26="","","Scenario EBITDA margin is below the strong threshold.")</x:f>
      </x:c>
      <x:c r="G26" s="128"/>
      <x:c r="H26" s="128"/>
    </x:row>
    <x:row r="27" ht="15" hidden="0" customHeight="1">
      <x:c r="A27" s="146" t="str">
        <x:f>IF(D9&lt;50%,"Lower FCF coverage","")</x:f>
      </x:c>
      <x:c r="B27" s="128" t="str">
        <x:v>FCF / Debt</x:v>
      </x:c>
      <x:c r="C27" s="186" t="n">
        <x:f>D9</x:f>
        <x:v>1.0441040242456185</x:v>
      </x:c>
      <x:c r="D27" s="128" t="str">
        <x:f>IF(D9&lt;C9,"Worsening","Stable/Improving")</x:f>
        <x:v>Stable/Improving</x:v>
      </x:c>
      <x:c r="E27" s="128" t="str">
        <x:f>IF(D9&lt;25%,"High",IF(D9&lt;50%,"Medium","Low"))</x:f>
        <x:v>Low</x:v>
      </x:c>
      <x:c r="F27" s="124" t="str">
        <x:f>IF(A27="","","FCF/debt is below the strong repayment-capacity threshold.")</x:f>
      </x:c>
      <x:c r="G27" s="128"/>
      <x:c r="H27" s="128"/>
    </x:row>
    <x:row r="28" ht="15" hidden="0" customHeight="1">
      <x:c r="A28" s="146" t="str">
        <x:f>IF(D8&lt;8,"Weaker interest coverage","")</x:f>
      </x:c>
      <x:c r="B28" s="128" t="str">
        <x:v>EBIT / Cash Interest Proxy</x:v>
      </x:c>
      <x:c r="C28" s="186" t="n">
        <x:f>D8</x:f>
        <x:v>53.26860799999999</x:v>
      </x:c>
      <x:c r="D28" s="128" t="str">
        <x:f>IF(D8&lt;C8,"Worsening","Stable/Improving")</x:f>
        <x:v>Stable/Improving</x:v>
      </x:c>
      <x:c r="E28" s="128" t="str">
        <x:f>IF(D8&lt;4,"High",IF(D8&lt;8,"Medium","Low"))</x:f>
        <x:v>Low</x:v>
      </x:c>
      <x:c r="F28" s="124" t="str">
        <x:f>IF(A28="","","Interest coverage falls below the strong threshold.")</x:f>
      </x:c>
      <x:c r="G28" s="128"/>
      <x:c r="H28" s="128"/>
    </x:row>
    <x:row r="29" ht="36" hidden="0" customHeight="1">
      <x:c r="A29" s="147" t="str">
        <x:f>IF(D5&lt;1,"Liquidity pressure","")</x:f>
        <x:v>Liquidity pressure</x:v>
      </x:c>
      <x:c r="B29" s="136" t="str">
        <x:v>Current Ratio</x:v>
      </x:c>
      <x:c r="C29" s="193" t="n">
        <x:f>D5</x:f>
        <x:v>0.95</x:v>
      </x:c>
      <x:c r="D29" s="136" t="str">
        <x:f>IF(D5&lt;C5,"Worsening","Stable/Improving")</x:f>
        <x:v>Stable/Improving</x:v>
      </x:c>
      <x:c r="E29" s="136" t="str">
        <x:f>IF(D5&lt;1,"High",IF(D5&lt;1.25,"Medium","Low"))</x:f>
        <x:v>High</x:v>
      </x:c>
      <x:c r="F29" s="126" t="str">
        <x:f>IF(A29="","","Current ratio is below 1.0x under scenario assumptions.")</x:f>
        <x:v>Current ratio is below 1.0x under scenario assumptions.</x:v>
      </x:c>
      <x:c r="G29" s="128"/>
      <x:c r="H29" s="128"/>
    </x:row>
    <x:row r="30" ht="15" hidden="0" customHeight="1">
      <x:c r="A30" s="128"/>
      <x:c r="B30" s="128"/>
      <x:c r="C30" s="128"/>
      <x:c r="D30" s="128"/>
      <x:c r="E30" s="128"/>
      <x:c r="F30" s="128"/>
      <x:c r="G30" s="128"/>
      <x:c r="H30" s="128"/>
    </x:row>
    <x:row r="31" ht="15" hidden="0" customHeight="1">
      <x:c r="A31" s="128"/>
      <x:c r="B31" s="128"/>
      <x:c r="C31" s="128"/>
      <x:c r="D31" s="128"/>
      <x:c r="E31" s="128"/>
      <x:c r="F31" s="128"/>
      <x:c r="G31" s="128"/>
      <x:c r="H31" s="128"/>
    </x:row>
    <x:row r="32" ht="15" hidden="0" customHeight="1">
      <x:c r="A32" s="127" t="str">
        <x:v>Data Quality and Model Checks</x:v>
      </x:c>
      <x:c r="B32" s="127" t="str">
        <x:v>Data Quality and Model Checks</x:v>
      </x:c>
      <x:c r="C32" s="127" t="str">
        <x:v>Data Quality and Model Checks</x:v>
      </x:c>
      <x:c r="D32" s="127" t="str">
        <x:v>Data Quality and Model Checks</x:v>
      </x:c>
      <x:c r="E32" s="127" t="str">
        <x:v>Data Quality and Model Checks</x:v>
      </x:c>
      <x:c r="F32" s="127" t="str">
        <x:v>Data Quality and Model Checks</x:v>
      </x:c>
      <x:c r="G32" s="127" t="str">
        <x:v>Data Quality and Model Checks</x:v>
      </x:c>
      <x:c r="H32" s="127" t="str">
        <x:v>Data Quality and Model Checks</x:v>
      </x:c>
    </x:row>
    <x:row r="33" ht="15" hidden="0" customHeight="1">
      <x:c r="A33" s="129" t="str">
        <x:v>Check</x:v>
      </x:c>
      <x:c r="B33" s="130" t="str">
        <x:v>Actual</x:v>
      </x:c>
      <x:c r="C33" s="130" t="str">
        <x:v>Expected</x:v>
      </x:c>
      <x:c r="D33" s="130" t="str">
        <x:v>Difference</x:v>
      </x:c>
      <x:c r="E33" s="130" t="str">
        <x:v>Status</x:v>
      </x:c>
      <x:c r="F33" s="131" t="str">
        <x:v>Notes</x:v>
      </x:c>
      <x:c r="G33" s="128"/>
      <x:c r="H33" s="128"/>
    </x:row>
    <x:row r="34" ht="48" hidden="0" customHeight="1">
      <x:c r="A34" s="146" t="str">
        <x:v>Missing values in Raw Data numeric area</x:v>
      </x:c>
      <x:c r="B34" s="253" t="n">
        <x:f>COUNTBLANK('Raw Data'!B4:F25)</x:f>
        <x:v>0</x:v>
      </x:c>
      <x:c r="C34" s="253" t="n">
        <x:v>0</x:v>
      </x:c>
      <x:c r="D34" s="253" t="n">
        <x:f>B34-C34</x:f>
        <x:v>0</x:v>
      </x:c>
      <x:c r="E34" s="253" t="str">
        <x:f>IF(B34=C34,"PASS","FAIL")</x:f>
        <x:v>PASS</x:v>
      </x:c>
      <x:c r="F34" s="124" t="str">
        <x:v>Calculated rows are formula-populated; remaining blanks would be flagged.</x:v>
      </x:c>
      <x:c r="G34" s="128"/>
      <x:c r="H34" s="128"/>
    </x:row>
    <x:row r="35" ht="36" hidden="0" customHeight="1">
      <x:c r="A35" s="146" t="str">
        <x:v>Total Debt formula tie-out 2025</x:v>
      </x:c>
      <x:c r="B35" s="254" t="n">
        <x:f>'Financial Statements'!F22</x:f>
        <x:v>98657</x:v>
      </x:c>
      <x:c r="C35" s="254" t="n">
        <x:f>'Financial Statements'!F19+'Financial Statements'!F20+'Financial Statements'!F21</x:f>
        <x:v>98657</x:v>
      </x:c>
      <x:c r="D35" s="254" t="n">
        <x:f>B35-C35</x:f>
        <x:v>0</x:v>
      </x:c>
      <x:c r="E35" s="253" t="str">
        <x:f>IF(ABS(D35)&lt;0.1,"PASS","FAIL")</x:f>
        <x:v>PASS</x:v>
      </x:c>
      <x:c r="F35" s="124" t="str">
        <x:v>Commercial paper + current term debt + long-term debt.</x:v>
      </x:c>
      <x:c r="G35" s="128"/>
      <x:c r="H35" s="128"/>
    </x:row>
    <x:row r="36" ht="24" hidden="0" customHeight="1">
      <x:c r="A36" s="146" t="str">
        <x:v>Free Cash Flow formula tie-out 2025</x:v>
      </x:c>
      <x:c r="B36" s="254" t="n">
        <x:f>'Financial Statements'!F27</x:f>
        <x:v>98767</x:v>
      </x:c>
      <x:c r="C36" s="254" t="n">
        <x:f>'Financial Statements'!F25+'Financial Statements'!F26</x:f>
        <x:v>98767</x:v>
      </x:c>
      <x:c r="D36" s="254" t="n">
        <x:f>B36-C36</x:f>
        <x:v>0</x:v>
      </x:c>
      <x:c r="E36" s="253" t="str">
        <x:f>IF(ABS(D36)&lt;0.1,"PASS","FAIL")</x:f>
        <x:v>PASS</x:v>
      </x:c>
      <x:c r="F36" s="124" t="str">
        <x:v>OCF + CapEx.</x:v>
      </x:c>
      <x:c r="G36" s="128"/>
      <x:c r="H36" s="128"/>
    </x:row>
    <x:row r="37" ht="24" hidden="0" customHeight="1">
      <x:c r="A37" s="146" t="str">
        <x:v>No invalid current liabilities</x:v>
      </x:c>
      <x:c r="B37" s="253" t="n">
        <x:f>MIN('Financial Statements'!B18:I18)</x:f>
        <x:v>125481</x:v>
      </x:c>
      <x:c r="C37" s="253" t="str">
        <x:v>&gt;0</x:v>
      </x:c>
      <x:c r="D37" s="253"/>
      <x:c r="E37" s="253" t="str">
        <x:f>IF(B37&gt;0,"PASS","FAIL")</x:f>
        <x:v>PASS</x:v>
      </x:c>
      <x:c r="F37" s="124" t="str">
        <x:v>Liquidity denominator should stay positive.</x:v>
      </x:c>
      <x:c r="G37" s="128"/>
      <x:c r="H37" s="128"/>
    </x:row>
    <x:row r="38" ht="24" hidden="0" customHeight="1">
      <x:c r="A38" s="146" t="str">
        <x:v>Scenario selected</x:v>
      </x:c>
      <x:c r="B38" s="253" t="str">
        <x:f>'Assumptions'!B4</x:f>
        <x:v>Base Case</x:v>
      </x:c>
      <x:c r="C38" s="253" t="str">
        <x:v>Base/Downside/Stress</x:v>
      </x:c>
      <x:c r="D38" s="253"/>
      <x:c r="E38" s="253" t="str">
        <x:f>IF(OR(B38="Base Case",B38="Downside Case",B38="Stress Case"),"PASS","FAIL")</x:f>
        <x:v>PASS</x:v>
      </x:c>
      <x:c r="F38" s="124" t="str">
        <x:v>Uses Assumptions!B4.</x:v>
      </x:c>
      <x:c r="G38" s="128"/>
      <x:c r="H38" s="128"/>
    </x:row>
    <x:row r="39" ht="24" hidden="0" customHeight="1">
      <x:c r="A39" s="147" t="str">
        <x:v>Initial model checks status</x:v>
      </x:c>
      <x:c r="B39" s="136"/>
      <x:c r="C39" s="136" t="str">
        <x:v>PASS</x:v>
      </x:c>
      <x:c r="D39" s="136"/>
      <x:c r="E39" s="136" t="str">
        <x:f>IF(COUNTIF(E34:E38,"FAIL")=0,"PASS","WARNING")</x:f>
        <x:v>PASS</x:v>
      </x:c>
      <x:c r="F39" s="126" t="str">
        <x:v>Summarizes rows above; detailed formula/weight/range checks continue below.</x:v>
      </x:c>
      <x:c r="G39" s="128"/>
      <x:c r="H39" s="128"/>
    </x:row>
    <x:row r="40">
      <x:c r="A40" s="30" t="str">
        <x:v>Total risk weights</x:v>
      </x:c>
      <x:c r="B40" s="255" t="n">
        <x:f>SUM('Assumptions'!B33:B37)</x:f>
        <x:v>1</x:v>
      </x:c>
      <x:c r="C40" s="256" t="str">
        <x:v>100%</x:v>
      </x:c>
      <x:c r="D40" s="255" t="n">
        <x:f>B40-100%</x:f>
        <x:v>0</x:v>
      </x:c>
      <x:c r="E40" s="256" t="str">
        <x:f>IF(ABS(D40)&lt;0.0001,"PASS","FAIL")</x:f>
        <x:v>PASS</x:v>
      </x:c>
      <x:c r="F40" s="32" t="str">
        <x:v>Weights must sum to 100%; do not silently change documented weights.</x:v>
      </x:c>
    </x:row>
    <x:row r="41">
      <x:c r="A41" s="30" t="str">
        <x:v>Overall score range</x:v>
      </x:c>
      <x:c r="B41" s="255" t="n">
        <x:f>D20</x:f>
        <x:v>1.4</x:v>
      </x:c>
      <x:c r="C41" s="256" t="str">
        <x:v>1.00 to 3.00</x:v>
      </x:c>
      <x:c r="D41" s="255"/>
      <x:c r="E41" s="256" t="str">
        <x:f>IF(AND(B41&gt;=1,B41&lt;=3),"PASS","FAIL")</x:f>
        <x:v>PASS</x:v>
      </x:c>
      <x:c r="F41" s="32" t="str">
        <x:v>Score should remain on 1=Strong, 2=Moderate, 3=Elevated scale.</x:v>
      </x:c>
    </x:row>
    <x:row r="42">
      <x:c r="A42" s="30" t="str">
        <x:v>Scenario score range</x:v>
      </x:c>
      <x:c r="B42" s="255" t="n">
        <x:f>MIN('Scenario Analysis'!B13:D13)</x:f>
        <x:v>1.4</x:v>
      </x:c>
      <x:c r="C42" s="256" t="str">
        <x:v>Min/Max within 1.00 to 3.00</x:v>
      </x:c>
      <x:c r="D42" s="255" t="n">
        <x:f>MAX('Scenario Analysis'!B13:D13)</x:f>
        <x:v>1.8250000000000002</x:v>
      </x:c>
      <x:c r="E42" s="256" t="str">
        <x:f>IF(AND(B42&gt;=1,D42&lt;=3),"PASS","FAIL")</x:f>
        <x:v>PASS</x:v>
      </x:c>
      <x:c r="F42" s="32" t="str">
        <x:v>All scenario weighted scores should remain within scale.</x:v>
      </x:c>
    </x:row>
    <x:row r="43">
      <x:c r="A43" s="33" t="str">
        <x:v>Overall model status</x:v>
      </x:c>
      <x:c r="B43" s="34"/>
      <x:c r="C43" s="34" t="str">
        <x:v>PASS</x:v>
      </x:c>
      <x:c r="D43" s="34"/>
      <x:c r="E43" s="34" t="str">
        <x:f>IF(COUNTIF(E34:E42,"FAIL")+COUNTIF(E34:E42,"WARNING")=0,"PASS","WARNING")</x:f>
        <x:v>PASS</x:v>
      </x:c>
      <x:c r="F43" s="35" t="str">
        <x:v>Aggregates visible checks.</x:v>
      </x:c>
    </x:row>
  </x:sheetData>
  <x:mergeCells>
    <x:mergeCell ref="A1:H1"/>
    <x:mergeCell ref="A13:H13"/>
    <x:mergeCell ref="A23:H23"/>
    <x:mergeCell ref="A32:H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85" hidden="0" customWidth="1"/>
  </x:cols>
  <x:sheetData>
    <x:row r="1" ht="15" hidden="0" customHeight="1">
      <x:c r="A1" s="119" t="str">
        <x:v>Scenario Analysis - Base, Downside, and Stress</x:v>
      </x:c>
      <x:c r="B1" s="119" t="str">
        <x:v>Scenario Analysis - Base, Downside, and Stress</x:v>
      </x:c>
      <x:c r="C1" s="119" t="str">
        <x:v>Scenario Analysis - Base, Downside, and Stress</x:v>
      </x:c>
      <x:c r="D1" s="119" t="str">
        <x:v>Scenario Analysis - Base, Downside, and Stress</x:v>
      </x:c>
      <x:c r="E1" s="119" t="str">
        <x:v>Scenario Analysis - Base, Downside, and Stress</x:v>
      </x:c>
      <x:c r="F1" s="128"/>
      <x:c r="G1" s="128"/>
      <x:c r="H1" s="128"/>
      <x:c r="I1" s="128"/>
      <x:c r="J1" s="128"/>
      <x:c r="K1" s="128"/>
    </x:row>
    <x:row r="2" ht="15" hidden="0" customHeight="1">
      <x:c r="A2" s="128"/>
      <x:c r="B2" s="128"/>
      <x:c r="C2" s="128"/>
      <x:c r="D2" s="128"/>
      <x:c r="E2" s="128"/>
      <x:c r="F2" s="128"/>
      <x:c r="G2" s="128"/>
      <x:c r="H2" s="128"/>
      <x:c r="I2" s="128"/>
      <x:c r="J2" s="128"/>
      <x:c r="K2" s="128"/>
    </x:row>
    <x:row r="3" ht="15" hidden="0" customHeight="1">
      <x:c r="A3" s="129" t="str">
        <x:v>Output Metric</x:v>
      </x:c>
      <x:c r="B3" s="130" t="str">
        <x:v>Base Case</x:v>
      </x:c>
      <x:c r="C3" s="130" t="str">
        <x:v>Downside Case</x:v>
      </x:c>
      <x:c r="D3" s="130" t="str">
        <x:v>Stress Case</x:v>
      </x:c>
      <x:c r="E3" s="131" t="str">
        <x:v>Interpretation</x:v>
      </x:c>
      <x:c r="F3" s="128"/>
      <x:c r="G3" s="128"/>
      <x:c r="H3" s="128"/>
      <x:c r="I3" s="128"/>
      <x:c r="J3" s="128"/>
      <x:c r="K3" s="128"/>
    </x:row>
    <x:row r="4" ht="15" hidden="0" customHeight="1">
      <x:c r="A4" s="146" t="str">
        <x:v>Revenue</x:v>
      </x:c>
      <x:c r="B4" s="254" t="n">
        <x:f>'Financial Statements'!F4*(1+INDEX('Assumptions'!$B$8:$D$8,1,1))</x:f>
        <x:v>432807.44</x:v>
      </x:c>
      <x:c r="C4" s="254" t="n">
        <x:f>'Financial Statements'!F4*(1+INDEX('Assumptions'!$B$8:$D$8,1,2))</x:f>
        <x:v>403676.17</x:v>
      </x:c>
      <x:c r="D4" s="254" t="n">
        <x:f>'Financial Statements'!F4*(1+INDEX('Assumptions'!$B$8:$D$8,1,3))</x:f>
        <x:v>374544.9</x:v>
      </x:c>
      <x:c r="E4" s="124" t="str">
        <x:v>Top-line pressure drives lower earnings and cash flow.</x:v>
      </x:c>
      <x:c r="F4" s="128"/>
      <x:c r="G4" s="128"/>
      <x:c r="H4" s="128"/>
      <x:c r="I4" s="128"/>
      <x:c r="J4" s="128"/>
      <x:c r="K4" s="128"/>
    </x:row>
    <x:row r="5" ht="15" hidden="0" customHeight="1">
      <x:c r="A5" s="146" t="str">
        <x:v>EBITDA</x:v>
      </x:c>
      <x:c r="B5" s="254" t="n">
        <x:f>B4*INDEX('Assumptions'!$B$9:$D$9,1,1)</x:f>
        <x:v>150616.98911999998</x:v>
      </x:c>
      <x:c r="C5" s="254" t="n">
        <x:f>C4*INDEX('Assumptions'!$B$9:$D$9,1,2)</x:f>
        <x:v>121102.851</x:v>
      </x:c>
      <x:c r="D5" s="254" t="n">
        <x:f>D4*INDEX('Assumptions'!$B$9:$D$9,1,3)</x:f>
        <x:v>89890.776</x:v>
      </x:c>
      <x:c r="E5" s="124" t="str">
        <x:v>Margin compression affects debt-service cushion.</x:v>
      </x:c>
      <x:c r="F5" s="128"/>
      <x:c r="G5" s="128"/>
      <x:c r="H5" s="128"/>
      <x:c r="I5" s="128"/>
      <x:c r="J5" s="128"/>
      <x:c r="K5" s="128"/>
    </x:row>
    <x:row r="6" ht="15" hidden="0" customHeight="1">
      <x:c r="A6" s="146" t="str">
        <x:v>EBIT</x:v>
      </x:c>
      <x:c r="B6" s="254" t="n">
        <x:f>B5-(B4*INDEX('Assumptions'!$B$16:$D$16,1,1))</x:f>
        <x:v>138498.38079999998</x:v>
      </x:c>
      <x:c r="C6" s="254" t="n">
        <x:f>C5-(C4*INDEX('Assumptions'!$B$16:$D$16,1,2))</x:f>
        <x:v>109396.24207</x:v>
      </x:c>
      <x:c r="D6" s="254" t="n">
        <x:f>D5-(D4*INDEX('Assumptions'!$B$16:$D$16,1,3))</x:f>
        <x:v>78279.8841</x:v>
      </x:c>
      <x:c r="E6" s="124" t="str">
        <x:v>EBIT feeds cash-interest proxy coverage.</x:v>
      </x:c>
      <x:c r="F6" s="128"/>
      <x:c r="G6" s="128"/>
      <x:c r="H6" s="128"/>
      <x:c r="I6" s="128"/>
      <x:c r="J6" s="128"/>
      <x:c r="K6" s="128"/>
    </x:row>
    <x:row r="7" ht="15" hidden="0" customHeight="1">
      <x:c r="A7" s="146" t="str">
        <x:v>Net Income</x:v>
      </x:c>
      <x:c r="B7" s="254" t="n">
        <x:f>(B6-INDEX('Assumptions'!$B$10:$D$10,1,1))*(1-INDEX('Assumptions'!$B$17:$D$17,1,1))</x:f>
        <x:v>114154.63987199999</x:v>
      </x:c>
      <x:c r="C7" s="254" t="n">
        <x:f>(C6-INDEX('Assumptions'!$B$10:$D$10,1,2))*(1-INDEX('Assumptions'!$B$17:$D$17,1,2))</x:f>
        <x:v>86834.9184974</x:v>
      </x:c>
      <x:c r="D7" s="254" t="n">
        <x:f>(D6-INDEX('Assumptions'!$B$10:$D$10,1,3))*(1-INDEX('Assumptions'!$B$17:$D$17,1,3))</x:f>
        <x:v>58623.90728</x:v>
      </x:c>
      <x:c r="E7" s="124" t="str">
        <x:v>Simplified post-tax earnings.</x:v>
      </x:c>
      <x:c r="F7" s="128"/>
      <x:c r="G7" s="128"/>
      <x:c r="H7" s="128"/>
      <x:c r="I7" s="128"/>
      <x:c r="J7" s="128"/>
      <x:c r="K7" s="128"/>
    </x:row>
    <x:row r="8" ht="15" hidden="0" customHeight="1">
      <x:c r="A8" s="146" t="str">
        <x:v>Free Cash Flow</x:v>
      </x:c>
      <x:c r="B8" s="254" t="n">
        <x:f>B4*INDEX('Assumptions'!$B$13:$D$13,1,1)+B4*INDEX('Assumptions'!$B$12:$D$12,1,1)</x:f>
        <x:v>103008.17072</x:v>
      </x:c>
      <x:c r="C8" s="254" t="n">
        <x:f>C4*INDEX('Assumptions'!$B$13:$D$13,1,2)+C4*INDEX('Assumptions'!$B$12:$D$12,1,2)</x:f>
        <x:v>78716.85315000001</x:v>
      </x:c>
      <x:c r="D8" s="254" t="n">
        <x:f>D4*INDEX('Assumptions'!$B$13:$D$13,1,3)+D4*INDEX('Assumptions'!$B$12:$D$12,1,3)</x:f>
        <x:v>52436.28599999999</x:v>
      </x:c>
      <x:c r="E8" s="124" t="str">
        <x:v>Cash after capex.</x:v>
      </x:c>
      <x:c r="F8" s="128"/>
      <x:c r="G8" s="128"/>
      <x:c r="H8" s="128"/>
      <x:c r="I8" s="128"/>
      <x:c r="J8" s="128"/>
      <x:c r="K8" s="128"/>
    </x:row>
    <x:row r="9" ht="15" hidden="0" customHeight="1">
      <x:c r="A9" s="146" t="str">
        <x:v>Debt / EBITDA</x:v>
      </x:c>
      <x:c r="B9" s="257" t="n">
        <x:f>IFERROR(('Financial Statements'!F22*(1+INDEX('Assumptions'!$B$11:$D$11,1,1)))/B5,0)</x:f>
        <x:v>0.6550190690732619</x:v>
      </x:c>
      <x:c r="C9" s="257" t="n">
        <x:f>IFERROR(('Financial Statements'!F22*(1+INDEX('Assumptions'!$B$11:$D$11,1,2)))/C5,0)</x:f>
        <x:v>0.896120108683486</x:v>
      </x:c>
      <x:c r="D9" s="257" t="n">
        <x:f>IFERROR(('Financial Statements'!F22*(1+INDEX('Assumptions'!$B$11:$D$11,1,3)))/D5,0)</x:f>
        <x:v>1.371901050225665</x:v>
      </x:c>
      <x:c r="E9" s="124" t="str">
        <x:v>Leverage response to debt and EBITDA assumptions.</x:v>
      </x:c>
      <x:c r="F9" s="128"/>
      <x:c r="G9" s="128"/>
      <x:c r="H9" s="128"/>
      <x:c r="I9" s="128"/>
      <x:c r="J9" s="128"/>
      <x:c r="K9" s="128"/>
    </x:row>
    <x:row r="10" ht="15" hidden="0" customHeight="1">
      <x:c r="A10" s="146" t="str">
        <x:v>EBIT / Cash Interest Proxy</x:v>
      </x:c>
      <x:c r="B10" s="257" t="n">
        <x:f>IFERROR(B6/INDEX('Assumptions'!$B$10:$D$10,1,1),0)</x:f>
        <x:v>53.26860799999999</x:v>
      </x:c>
      <x:c r="C10" s="257" t="n">
        <x:f>IFERROR(C6/INDEX('Assumptions'!$B$10:$D$10,1,2),0)</x:f>
        <x:v>31.25606916285714</x:v>
      </x:c>
      <x:c r="D10" s="257" t="n">
        <x:f>IFERROR(D6/INDEX('Assumptions'!$B$10:$D$10,1,3),0)</x:f>
        <x:v>15.65597682</x:v>
      </x:c>
      <x:c r="E10" s="124" t="str">
        <x:v>Debt-service cushion using cash-interest proxy.</x:v>
      </x:c>
      <x:c r="F10" s="128"/>
      <x:c r="G10" s="128"/>
      <x:c r="H10" s="128"/>
      <x:c r="I10" s="128"/>
      <x:c r="J10" s="128"/>
      <x:c r="K10" s="128"/>
    </x:row>
    <x:row r="11" ht="15" hidden="0" customHeight="1">
      <x:c r="A11" s="146" t="str">
        <x:v>Current Ratio</x:v>
      </x:c>
      <x:c r="B11" s="257" t="n">
        <x:f>INDEX('Assumptions'!$B$14:$D$14,1,1)</x:f>
        <x:v>0.95</x:v>
      </x:c>
      <x:c r="C11" s="257" t="n">
        <x:f>INDEX('Assumptions'!$B$14:$D$14,1,2)</x:f>
        <x:v>0.85</x:v>
      </x:c>
      <x:c r="D11" s="257" t="n">
        <x:f>INDEX('Assumptions'!$B$14:$D$14,1,3)</x:f>
        <x:v>0.7</x:v>
      </x:c>
      <x:c r="E11" s="124" t="str">
        <x:v>Short-term liquidity indicator.</x:v>
      </x:c>
      <x:c r="F11" s="128"/>
      <x:c r="G11" s="128"/>
      <x:c r="H11" s="128"/>
      <x:c r="I11" s="128"/>
      <x:c r="J11" s="128"/>
      <x:c r="K11" s="128"/>
    </x:row>
    <x:row r="12" ht="15" hidden="0" customHeight="1">
      <x:c r="A12" s="146" t="str">
        <x:v>FCF / Debt</x:v>
      </x:c>
      <x:c r="B12" s="258" t="n">
        <x:f>IFERROR(B8/('Financial Statements'!F22*(1+INDEX('Assumptions'!$B$11:$D$11,1,1))),0)</x:f>
        <x:v>1.0441040242456185</x:v>
      </x:c>
      <x:c r="C12" s="258" t="n">
        <x:f>IFERROR(C8/('Financial Statements'!F22*(1+INDEX('Assumptions'!$B$11:$D$11,1,2))),0)</x:f>
        <x:v>0.7253491956060806</x:v>
      </x:c>
      <x:c r="D12" s="258" t="n">
        <x:f>IFERROR(D8/('Financial Statements'!F22*(1+INDEX('Assumptions'!$B$11:$D$11,1,3))),0)</x:f>
        <x:v>0.42520073385568175</x:v>
      </x:c>
      <x:c r="E12" s="124" t="str">
        <x:v>Cash-flow coverage of debt.</x:v>
      </x:c>
      <x:c r="F12" s="128"/>
      <x:c r="G12" s="128"/>
      <x:c r="H12" s="128"/>
      <x:c r="I12" s="128"/>
      <x:c r="J12" s="128"/>
      <x:c r="K12" s="128"/>
    </x:row>
    <x:row r="13" ht="15" hidden="0" customHeight="1">
      <x:c r="A13" s="146" t="str">
        <x:v>Overall Risk Score</x:v>
      </x:c>
      <x:c r="B13" s="259" t="n">
        <x:f>SUM(B17:B21)</x:f>
        <x:v>1.4</x:v>
      </x:c>
      <x:c r="C13" s="259" t="n">
        <x:f>SUM(C17:C21)</x:f>
        <x:v>1.4</x:v>
      </x:c>
      <x:c r="D13" s="259" t="n">
        <x:f>SUM(D17:D21)</x:f>
        <x:v>1.8250000000000002</x:v>
      </x:c>
      <x:c r="E13" s="124" t="str">
        <x:v>Weighted average; lower is stronger.</x:v>
      </x:c>
      <x:c r="F13" s="128"/>
      <x:c r="G13" s="128"/>
      <x:c r="H13" s="128"/>
      <x:c r="I13" s="128"/>
      <x:c r="J13" s="128"/>
      <x:c r="K13" s="128"/>
    </x:row>
    <x:row r="14" ht="15" hidden="0" customHeight="1">
      <x:c r="A14" s="147" t="str">
        <x:v>Overall Risk Category</x:v>
      </x:c>
      <x:c r="B14" s="136" t="str">
        <x:f>IF(B13&lt;=1.5,"Low Risk",IF(B13&lt;=2.25,"Moderate Risk","Elevated Risk"))</x:f>
        <x:v>Low Risk</x:v>
      </x:c>
      <x:c r="C14" s="136" t="str">
        <x:f>IF(C13&lt;=1.5,"Low Risk",IF(C13&lt;=2.25,"Moderate Risk","Elevated Risk"))</x:f>
        <x:v>Low Risk</x:v>
      </x:c>
      <x:c r="D14" s="136" t="str">
        <x:f>IF(D13&lt;=1.5,"Low Risk",IF(D13&lt;=2.25,"Moderate Risk","Elevated Risk"))</x:f>
        <x:v>Moderate Risk</x:v>
      </x:c>
      <x:c r="E14" s="126" t="str">
        <x:v>Portfolio-model output, not a credit rating.</x:v>
      </x:c>
      <x:c r="F14" s="128"/>
      <x:c r="G14" s="128"/>
      <x:c r="H14" s="128"/>
      <x:c r="I14" s="128"/>
      <x:c r="J14" s="128"/>
      <x:c r="K14" s="128"/>
    </x:row>
    <x:row r="15" ht="15" hidden="0" customHeight="1">
      <x:c r="A15" s="129"/>
      <x:c r="B15" s="194"/>
      <x:c r="C15" s="194"/>
      <x:c r="D15" s="195"/>
      <x:c r="E15" s="124"/>
      <x:c r="F15" s="128"/>
      <x:c r="G15" s="128"/>
      <x:c r="H15" s="128"/>
      <x:c r="I15" s="128"/>
      <x:c r="J15" s="128"/>
      <x:c r="K15" s="128"/>
    </x:row>
    <x:row r="16" ht="15" hidden="0" customHeight="1">
      <x:c r="A16" s="187" t="str">
        <x:v>Weighted Score Helper</x:v>
      </x:c>
      <x:c r="B16" s="260" t="str">
        <x:v>Base Case</x:v>
      </x:c>
      <x:c r="C16" s="260" t="str">
        <x:v>Downside Case</x:v>
      </x:c>
      <x:c r="D16" s="261" t="str">
        <x:v>Stress Case</x:v>
      </x:c>
      <x:c r="E16" s="124"/>
      <x:c r="F16" s="128"/>
      <x:c r="G16" s="128"/>
      <x:c r="H16" s="128"/>
      <x:c r="I16" s="128"/>
      <x:c r="J16" s="128"/>
      <x:c r="K16" s="128"/>
    </x:row>
    <x:row r="17" ht="15" hidden="0" customHeight="1">
      <x:c r="A17" s="146" t="str">
        <x:v>Profitability</x:v>
      </x:c>
      <x:c r="B17" s="259" t="n">
        <x:f>'Assumptions'!$B$33*IF(B5/B4&gt;=25%,1,IF(B5/B4&gt;=15%,2,3))</x:f>
        <x:v>0.15</x:v>
      </x:c>
      <x:c r="C17" s="259" t="n">
        <x:f>'Assumptions'!$B$33*IF(C5/C4&gt;=25%,1,IF(C5/C4&gt;=15%,2,3))</x:f>
        <x:v>0.15</x:v>
      </x:c>
      <x:c r="D17" s="190" t="n">
        <x:f>'Assumptions'!$B$33*IF(D5/D4&gt;=25%,1,IF(D5/D4&gt;=15%,2,3))</x:f>
        <x:v>0.3</x:v>
      </x:c>
      <x:c r="E17" s="124"/>
      <x:c r="F17" s="128"/>
      <x:c r="G17" s="128"/>
      <x:c r="H17" s="128"/>
      <x:c r="I17" s="128"/>
      <x:c r="J17" s="128"/>
      <x:c r="K17" s="128"/>
    </x:row>
    <x:row r="18" ht="15" hidden="0" customHeight="1">
      <x:c r="A18" s="146" t="str">
        <x:v>Liquidity</x:v>
      </x:c>
      <x:c r="B18" s="259" t="n">
        <x:f>'Assumptions'!$B$34*IF(B11&gt;=1.25,1,IF(B11&gt;=1,2,3))</x:f>
        <x:v>0.6000000000000001</x:v>
      </x:c>
      <x:c r="C18" s="259" t="n">
        <x:f>'Assumptions'!$B$34*IF(C11&gt;=1.25,1,IF(C11&gt;=1,2,3))</x:f>
        <x:v>0.6000000000000001</x:v>
      </x:c>
      <x:c r="D18" s="190" t="n">
        <x:f>'Assumptions'!$B$34*IF(D11&gt;=1.25,1,IF(D11&gt;=1,2,3))</x:f>
        <x:v>0.6000000000000001</x:v>
      </x:c>
      <x:c r="E18" s="124"/>
      <x:c r="F18" s="128"/>
      <x:c r="G18" s="128"/>
      <x:c r="H18" s="128"/>
      <x:c r="I18" s="128"/>
      <x:c r="J18" s="128"/>
      <x:c r="K18" s="128"/>
    </x:row>
    <x:row r="19" ht="15" hidden="0" customHeight="1">
      <x:c r="A19" s="147" t="str">
        <x:v>Leverage</x:v>
      </x:c>
      <x:c r="B19" s="191" t="n">
        <x:f>'Assumptions'!$B$35*AVERAGE(IF(IFERROR(('Financial Statements'!$F$22*(1+INDEX('Assumptions'!$B$11:$D$11,1,COLUMN(B1)-1))-('Financial Statements'!$F$15+B8))/B5,0)&lt;=0.5,1,IF(IFERROR(('Financial Statements'!$F$22*(1+INDEX('Assumptions'!$B$11:$D$11,1,COLUMN(B1)-1))-('Financial Statements'!$F$15+B8))/B5,0)&lt;=1.5,2,3)),IF(B9&lt;=1,1,IF(B9&lt;=2,2,3)))</x:f>
        <x:v>0.25</x:v>
      </x:c>
      <x:c r="C19" s="191" t="n">
        <x:f>'Assumptions'!$B$35*AVERAGE(IF(IFERROR(('Financial Statements'!$F$22*(1+INDEX('Assumptions'!$B$11:$D$11,1,COLUMN(C1)-1))-('Financial Statements'!$F$15+C8))/C5,0)&lt;=0.5,1,IF(IFERROR(('Financial Statements'!$F$22*(1+INDEX('Assumptions'!$B$11:$D$11,1,COLUMN(C1)-1))-('Financial Statements'!$F$15+C8))/C5,0)&lt;=1.5,2,3)),IF(C9&lt;=1,1,IF(C9&lt;=2,2,3)))</x:f>
        <x:v>0.25</x:v>
      </x:c>
      <x:c r="D19" s="192" t="n">
        <x:f>'Assumptions'!$B$35*AVERAGE(IF(IFERROR(('Financial Statements'!$F$22*(1+INDEX('Assumptions'!$B$11:$D$11,1,COLUMN(D1)-1))-('Financial Statements'!$F$15+D8))/D5,0)&lt;=0.5,1,IF(IFERROR(('Financial Statements'!$F$22*(1+INDEX('Assumptions'!$B$11:$D$11,1,COLUMN(D1)-1))-('Financial Statements'!$F$15+D8))/D5,0)&lt;=1.5,2,3)),IF(D9&lt;=1,1,IF(D9&lt;=2,2,3)))</x:f>
        <x:v>0.375</x:v>
      </x:c>
      <x:c r="E19" s="126"/>
      <x:c r="F19" s="128"/>
      <x:c r="G19" s="128"/>
      <x:c r="H19" s="128"/>
      <x:c r="I19" s="128"/>
      <x:c r="J19" s="128"/>
      <x:c r="K19" s="128"/>
    </x:row>
    <x:row r="20" ht="15" hidden="0" customHeight="1">
      <x:c r="A20" s="146" t="str">
        <x:v>Debt Service</x:v>
      </x:c>
      <x:c r="B20" s="259" t="n">
        <x:f>'Assumptions'!$B$36*IF(B10&gt;=8,1,IF(B10&gt;=4,2,3))</x:f>
        <x:v>0.25</x:v>
      </x:c>
      <x:c r="C20" s="259" t="n">
        <x:f>'Assumptions'!$B$36*IF(C10&gt;=8,1,IF(C10&gt;=4,2,3))</x:f>
        <x:v>0.25</x:v>
      </x:c>
      <x:c r="D20" s="190" t="n">
        <x:f>'Assumptions'!$B$36*IF(D10&gt;=8,1,IF(D10&gt;=4,2,3))</x:f>
        <x:v>0.25</x:v>
      </x:c>
      <x:c r="E20" s="128"/>
      <x:c r="F20" s="128"/>
      <x:c r="G20" s="128"/>
      <x:c r="H20" s="128"/>
      <x:c r="I20" s="128"/>
      <x:c r="J20" s="128"/>
      <x:c r="K20" s="128"/>
    </x:row>
    <x:row r="21" ht="15" hidden="0" customHeight="1">
      <x:c r="A21" s="147" t="str">
        <x:v>Cash Flow</x:v>
      </x:c>
      <x:c r="B21" s="191" t="n">
        <x:f>'Assumptions'!$B$37*IF(B12&gt;=50%,1,IF(B12&gt;=25%,2,3))</x:f>
        <x:v>0.15</x:v>
      </x:c>
      <x:c r="C21" s="191" t="n">
        <x:f>'Assumptions'!$B$37*IF(C12&gt;=50%,1,IF(C12&gt;=25%,2,3))</x:f>
        <x:v>0.15</x:v>
      </x:c>
      <x:c r="D21" s="192" t="n">
        <x:f>'Assumptions'!$B$37*IF(D12&gt;=50%,1,IF(D12&gt;=25%,2,3))</x:f>
        <x:v>0.3</x:v>
      </x:c>
      <x:c r="E21" s="128"/>
      <x:c r="F21" s="128"/>
      <x:c r="G21" s="128"/>
      <x:c r="H21" s="128"/>
      <x:c r="I21" s="128"/>
      <x:c r="J21" s="128"/>
      <x:c r="K21" s="128"/>
    </x:row>
    <x:row r="22" ht="15" hidden="0" customHeight="1">
      <x:c r="A22" s="127" t="str">
        <x:v>Sensitivity Analysis - Revenue Growth vs EBITDA Margin</x:v>
      </x:c>
      <x:c r="B22" s="127" t="str">
        <x:v>Sensitivity Analysis - Revenue Growth vs EBITDA Margin</x:v>
      </x:c>
      <x:c r="C22" s="127" t="str">
        <x:v>Sensitivity Analysis - Revenue Growth vs EBITDA Margin</x:v>
      </x:c>
      <x:c r="D22" s="127" t="str">
        <x:v>Sensitivity Analysis - Revenue Growth vs EBITDA Margin</x:v>
      </x:c>
      <x:c r="E22" s="127" t="str">
        <x:v>Sensitivity Analysis - Revenue Growth vs EBITDA Margin</x:v>
      </x:c>
      <x:c r="F22" s="128"/>
      <x:c r="G22" s="128"/>
      <x:c r="H22" s="128"/>
      <x:c r="I22" s="128"/>
      <x:c r="J22" s="128"/>
      <x:c r="K22" s="128"/>
    </x:row>
    <x:row r="23" ht="36" hidden="0" customHeight="1">
      <x:c r="A23" s="129" t="str">
        <x:v>EBIT / Cash Interest Proxy</x:v>
      </x:c>
      <x:c r="B23" s="196" t="n">
        <x:v>0.26</x:v>
      </x:c>
      <x:c r="C23" s="196" t="n">
        <x:v>0.3</x:v>
      </x:c>
      <x:c r="D23" s="196" t="n">
        <x:v>0.34</x:v>
      </x:c>
      <x:c r="E23" s="197" t="n">
        <x:v>0.38</x:v>
      </x:c>
      <x:c r="F23" s="128"/>
      <x:c r="G23" s="129" t="str">
        <x:v>Risk Score</x:v>
      </x:c>
      <x:c r="H23" s="196" t="n">
        <x:v>0.26</x:v>
      </x:c>
      <x:c r="I23" s="196" t="n">
        <x:v>0.3</x:v>
      </x:c>
      <x:c r="J23" s="196" t="n">
        <x:v>0.34</x:v>
      </x:c>
      <x:c r="K23" s="197" t="n">
        <x:v>0.38</x:v>
      </x:c>
    </x:row>
    <x:row r="24" ht="15" hidden="0" customHeight="1">
      <x:c r="A24" s="207" t="n">
        <x:v>-0.1</x:v>
      </x:c>
      <x:c r="B24" s="257" t="n">
        <x:f>IFERROR((('Financial Statements'!$F$4*(1+$A24)*B$23)-('Financial Statements'!$F$4*(1+$A24)*'Assumptions'!$E$16))/'Assumptions'!$E$10,0)</x:f>
        <x:v>33.42092953846154</x:v>
      </x:c>
      <x:c r="C24" s="257" t="n">
        <x:f>IFERROR((('Financial Statements'!$F$4*(1+$A24)*C$23)-('Financial Statements'!$F$4*(1+$A24)*'Assumptions'!$E$16))/'Assumptions'!$E$10,0)</x:f>
        <x:v>39.18315876923077</x:v>
      </x:c>
      <x:c r="D24" s="257" t="n">
        <x:f>IFERROR((('Financial Statements'!$F$4*(1+$A24)*D$23)-('Financial Statements'!$F$4*(1+$A24)*'Assumptions'!$E$16))/'Assumptions'!$E$10,0)</x:f>
        <x:v>44.945388</x:v>
      </x:c>
      <x:c r="E24" s="208" t="n">
        <x:f>IFERROR((('Financial Statements'!$F$4*(1+$A24)*E$23)-('Financial Statements'!$F$4*(1+$A24)*'Assumptions'!$E$16))/'Assumptions'!$E$10,0)</x:f>
        <x:v>50.70761723076924</x:v>
      </x:c>
      <x:c r="F24" s="128"/>
      <x:c r="G24" s="207" t="n">
        <x:v>-0.1</x:v>
      </x:c>
      <x:c r="H24" s="259" t="n">
        <x:f>'Assumptions'!$B$33*IF(H$23&gt;=25%,1,IF(H$23&gt;=15%,2,3))+'Assumptions'!$B$34*IF('Assumptions'!$E$14&gt;=1.25,1,IF('Assumptions'!$E$14&gt;=1,2,3))+'Assumptions'!$B$35*IF(('Financial Statements'!$F$22*(1+'Assumptions'!$E$11))/('Financial Statements'!$F$4*(1+$G24)*H$23)&lt;=1,1,IF(('Financial Statements'!$F$22*(1+'Assumptions'!$E$11))/('Financial Statements'!$F$4*(1+$G24)*H$23)&lt;=2,2,3))+'Assumptions'!$B$36*IF((('Financial Statements'!$F$4*(1+$G24)*H$23)-('Financial Statements'!$F$4*(1+$G24)*'Assumptions'!$E$16))/'Assumptions'!$E$10&gt;=8,1,IF((('Financial Statements'!$F$4*(1+$G24)*H$23)-('Financial Statements'!$F$4*(1+$G24)*'Assumptions'!$E$16))/'Assumptions'!$E$10&gt;=4,2,3))+'Assumptions'!$B$37*IF((('Financial Statements'!$F$4*(1+$G24)*'Assumptions'!$E$13)+('Financial Statements'!$F$4*(1+$G24)*'Assumptions'!$E$12))/('Financial Statements'!$F$22*(1+'Assumptions'!$E$11))&gt;=50%,1,IF((('Financial Statements'!$F$4*(1+$G24)*'Assumptions'!$E$13)+('Financial Statements'!$F$4*(1+$G24)*'Assumptions'!$E$12))/('Financial Statements'!$F$22*(1+'Assumptions'!$E$11))&gt;=25%,2,3))</x:f>
        <x:v>1.65</x:v>
      </x:c>
      <x:c r="I24" s="259" t="n">
        <x:f>'Assumptions'!$B$33*IF(I$23&gt;=25%,1,IF(I$23&gt;=15%,2,3))+'Assumptions'!$B$34*IF('Assumptions'!$E$14&gt;=1.25,1,IF('Assumptions'!$E$14&gt;=1,2,3))+'Assumptions'!$B$35*IF(('Financial Statements'!$F$22*(1+'Assumptions'!$E$11))/('Financial Statements'!$F$4*(1+$G24)*I$23)&lt;=1,1,IF(('Financial Statements'!$F$22*(1+'Assumptions'!$E$11))/('Financial Statements'!$F$4*(1+$G24)*I$23)&lt;=2,2,3))+'Assumptions'!$B$36*IF((('Financial Statements'!$F$4*(1+$G24)*I$23)-('Financial Statements'!$F$4*(1+$G24)*'Assumptions'!$E$16))/'Assumptions'!$E$10&gt;=8,1,IF((('Financial Statements'!$F$4*(1+$G24)*I$23)-('Financial Statements'!$F$4*(1+$G24)*'Assumptions'!$E$16))/'Assumptions'!$E$10&gt;=4,2,3))+'Assumptions'!$B$37*IF((('Financial Statements'!$F$4*(1+$G24)*'Assumptions'!$E$13)+('Financial Statements'!$F$4*(1+$G24)*'Assumptions'!$E$12))/('Financial Statements'!$F$22*(1+'Assumptions'!$E$11))&gt;=50%,1,IF((('Financial Statements'!$F$4*(1+$G24)*'Assumptions'!$E$13)+('Financial Statements'!$F$4*(1+$G24)*'Assumptions'!$E$12))/('Financial Statements'!$F$22*(1+'Assumptions'!$E$11))&gt;=25%,2,3))</x:f>
        <x:v>1.4</x:v>
      </x:c>
      <x:c r="J24" s="259" t="n">
        <x:f>'Assumptions'!$B$33*IF(J$23&gt;=25%,1,IF(J$23&gt;=15%,2,3))+'Assumptions'!$B$34*IF('Assumptions'!$E$14&gt;=1.25,1,IF('Assumptions'!$E$14&gt;=1,2,3))+'Assumptions'!$B$35*IF(('Financial Statements'!$F$22*(1+'Assumptions'!$E$11))/('Financial Statements'!$F$4*(1+$G24)*J$23)&lt;=1,1,IF(('Financial Statements'!$F$22*(1+'Assumptions'!$E$11))/('Financial Statements'!$F$4*(1+$G24)*J$23)&lt;=2,2,3))+'Assumptions'!$B$36*IF((('Financial Statements'!$F$4*(1+$G24)*J$23)-('Financial Statements'!$F$4*(1+$G24)*'Assumptions'!$E$16))/'Assumptions'!$E$10&gt;=8,1,IF((('Financial Statements'!$F$4*(1+$G24)*J$23)-('Financial Statements'!$F$4*(1+$G24)*'Assumptions'!$E$16))/'Assumptions'!$E$10&gt;=4,2,3))+'Assumptions'!$B$37*IF((('Financial Statements'!$F$4*(1+$G24)*'Assumptions'!$E$13)+('Financial Statements'!$F$4*(1+$G24)*'Assumptions'!$E$12))/('Financial Statements'!$F$22*(1+'Assumptions'!$E$11))&gt;=50%,1,IF((('Financial Statements'!$F$4*(1+$G24)*'Assumptions'!$E$13)+('Financial Statements'!$F$4*(1+$G24)*'Assumptions'!$E$12))/('Financial Statements'!$F$22*(1+'Assumptions'!$E$11))&gt;=25%,2,3))</x:f>
        <x:v>1.4</x:v>
      </x:c>
      <x:c r="K24" s="190" t="n">
        <x:f>'Assumptions'!$B$33*IF(K$23&gt;=25%,1,IF(K$23&gt;=15%,2,3))+'Assumptions'!$B$34*IF('Assumptions'!$E$14&gt;=1.25,1,IF('Assumptions'!$E$14&gt;=1,2,3))+'Assumptions'!$B$35*IF(('Financial Statements'!$F$22*(1+'Assumptions'!$E$11))/('Financial Statements'!$F$4*(1+$G24)*K$23)&lt;=1,1,IF(('Financial Statements'!$F$22*(1+'Assumptions'!$E$11))/('Financial Statements'!$F$4*(1+$G24)*K$23)&lt;=2,2,3))+'Assumptions'!$B$36*IF((('Financial Statements'!$F$4*(1+$G24)*K$23)-('Financial Statements'!$F$4*(1+$G24)*'Assumptions'!$E$16))/'Assumptions'!$E$10&gt;=8,1,IF((('Financial Statements'!$F$4*(1+$G24)*K$23)-('Financial Statements'!$F$4*(1+$G24)*'Assumptions'!$E$16))/'Assumptions'!$E$10&gt;=4,2,3))+'Assumptions'!$B$37*IF((('Financial Statements'!$F$4*(1+$G24)*'Assumptions'!$E$13)+('Financial Statements'!$F$4*(1+$G24)*'Assumptions'!$E$12))/('Financial Statements'!$F$22*(1+'Assumptions'!$E$11))&gt;=50%,1,IF((('Financial Statements'!$F$4*(1+$G24)*'Assumptions'!$E$13)+('Financial Statements'!$F$4*(1+$G24)*'Assumptions'!$E$12))/('Financial Statements'!$F$22*(1+'Assumptions'!$E$11))&gt;=25%,2,3))</x:f>
        <x:v>1.4</x:v>
      </x:c>
    </x:row>
    <x:row r="25" ht="15" hidden="0" customHeight="1">
      <x:c r="A25" s="207" t="n">
        <x:v>-0.05</x:v>
      </x:c>
      <x:c r="B25" s="257" t="n">
        <x:f>IFERROR((('Financial Statements'!$F$4*(1+$A25)*B$23)-('Financial Statements'!$F$4*(1+$A25)*'Assumptions'!$E$16))/'Assumptions'!$E$10,0)</x:f>
        <x:v>35.27764784615385</x:v>
      </x:c>
      <x:c r="C25" s="257" t="n">
        <x:f>IFERROR((('Financial Statements'!$F$4*(1+$A25)*C$23)-('Financial Statements'!$F$4*(1+$A25)*'Assumptions'!$E$16))/'Assumptions'!$E$10,0)</x:f>
        <x:v>41.36000092307692</x:v>
      </x:c>
      <x:c r="D25" s="257" t="n">
        <x:f>IFERROR((('Financial Statements'!$F$4*(1+$A25)*D$23)-('Financial Statements'!$F$4*(1+$A25)*'Assumptions'!$E$16))/'Assumptions'!$E$10,0)</x:f>
        <x:v>47.442354</x:v>
      </x:c>
      <x:c r="E25" s="208" t="n">
        <x:f>IFERROR((('Financial Statements'!$F$4*(1+$A25)*E$23)-('Financial Statements'!$F$4*(1+$A25)*'Assumptions'!$E$16))/'Assumptions'!$E$10,0)</x:f>
        <x:v>53.524707076923065</x:v>
      </x:c>
      <x:c r="F25" s="128"/>
      <x:c r="G25" s="207" t="n">
        <x:v>-0.05</x:v>
      </x:c>
      <x:c r="H25" s="259" t="n">
        <x:f>'Assumptions'!$B$33*IF(H$23&gt;=25%,1,IF(H$23&gt;=15%,2,3))+'Assumptions'!$B$34*IF('Assumptions'!$E$14&gt;=1.25,1,IF('Assumptions'!$E$14&gt;=1,2,3))+'Assumptions'!$B$35*IF(('Financial Statements'!$F$22*(1+'Assumptions'!$E$11))/('Financial Statements'!$F$4*(1+$G25)*H$23)&lt;=1,1,IF(('Financial Statements'!$F$22*(1+'Assumptions'!$E$11))/('Financial Statements'!$F$4*(1+$G25)*H$23)&lt;=2,2,3))+'Assumptions'!$B$36*IF((('Financial Statements'!$F$4*(1+$G25)*H$23)-('Financial Statements'!$F$4*(1+$G25)*'Assumptions'!$E$16))/'Assumptions'!$E$10&gt;=8,1,IF((('Financial Statements'!$F$4*(1+$G25)*H$23)-('Financial Statements'!$F$4*(1+$G25)*'Assumptions'!$E$16))/'Assumptions'!$E$10&gt;=4,2,3))+'Assumptions'!$B$37*IF((('Financial Statements'!$F$4*(1+$G25)*'Assumptions'!$E$13)+('Financial Statements'!$F$4*(1+$G25)*'Assumptions'!$E$12))/('Financial Statements'!$F$22*(1+'Assumptions'!$E$11))&gt;=50%,1,IF((('Financial Statements'!$F$4*(1+$G25)*'Assumptions'!$E$13)+('Financial Statements'!$F$4*(1+$G25)*'Assumptions'!$E$12))/('Financial Statements'!$F$22*(1+'Assumptions'!$E$11))&gt;=25%,2,3))</x:f>
        <x:v>1.4</x:v>
      </x:c>
      <x:c r="I25" s="259" t="n">
        <x:f>'Assumptions'!$B$33*IF(I$23&gt;=25%,1,IF(I$23&gt;=15%,2,3))+'Assumptions'!$B$34*IF('Assumptions'!$E$14&gt;=1.25,1,IF('Assumptions'!$E$14&gt;=1,2,3))+'Assumptions'!$B$35*IF(('Financial Statements'!$F$22*(1+'Assumptions'!$E$11))/('Financial Statements'!$F$4*(1+$G25)*I$23)&lt;=1,1,IF(('Financial Statements'!$F$22*(1+'Assumptions'!$E$11))/('Financial Statements'!$F$4*(1+$G25)*I$23)&lt;=2,2,3))+'Assumptions'!$B$36*IF((('Financial Statements'!$F$4*(1+$G25)*I$23)-('Financial Statements'!$F$4*(1+$G25)*'Assumptions'!$E$16))/'Assumptions'!$E$10&gt;=8,1,IF((('Financial Statements'!$F$4*(1+$G25)*I$23)-('Financial Statements'!$F$4*(1+$G25)*'Assumptions'!$E$16))/'Assumptions'!$E$10&gt;=4,2,3))+'Assumptions'!$B$37*IF((('Financial Statements'!$F$4*(1+$G25)*'Assumptions'!$E$13)+('Financial Statements'!$F$4*(1+$G25)*'Assumptions'!$E$12))/('Financial Statements'!$F$22*(1+'Assumptions'!$E$11))&gt;=50%,1,IF((('Financial Statements'!$F$4*(1+$G25)*'Assumptions'!$E$13)+('Financial Statements'!$F$4*(1+$G25)*'Assumptions'!$E$12))/('Financial Statements'!$F$22*(1+'Assumptions'!$E$11))&gt;=25%,2,3))</x:f>
        <x:v>1.4</x:v>
      </x:c>
      <x:c r="J25" s="259" t="n">
        <x:f>'Assumptions'!$B$33*IF(J$23&gt;=25%,1,IF(J$23&gt;=15%,2,3))+'Assumptions'!$B$34*IF('Assumptions'!$E$14&gt;=1.25,1,IF('Assumptions'!$E$14&gt;=1,2,3))+'Assumptions'!$B$35*IF(('Financial Statements'!$F$22*(1+'Assumptions'!$E$11))/('Financial Statements'!$F$4*(1+$G25)*J$23)&lt;=1,1,IF(('Financial Statements'!$F$22*(1+'Assumptions'!$E$11))/('Financial Statements'!$F$4*(1+$G25)*J$23)&lt;=2,2,3))+'Assumptions'!$B$36*IF((('Financial Statements'!$F$4*(1+$G25)*J$23)-('Financial Statements'!$F$4*(1+$G25)*'Assumptions'!$E$16))/'Assumptions'!$E$10&gt;=8,1,IF((('Financial Statements'!$F$4*(1+$G25)*J$23)-('Financial Statements'!$F$4*(1+$G25)*'Assumptions'!$E$16))/'Assumptions'!$E$10&gt;=4,2,3))+'Assumptions'!$B$37*IF((('Financial Statements'!$F$4*(1+$G25)*'Assumptions'!$E$13)+('Financial Statements'!$F$4*(1+$G25)*'Assumptions'!$E$12))/('Financial Statements'!$F$22*(1+'Assumptions'!$E$11))&gt;=50%,1,IF((('Financial Statements'!$F$4*(1+$G25)*'Assumptions'!$E$13)+('Financial Statements'!$F$4*(1+$G25)*'Assumptions'!$E$12))/('Financial Statements'!$F$22*(1+'Assumptions'!$E$11))&gt;=25%,2,3))</x:f>
        <x:v>1.4</x:v>
      </x:c>
      <x:c r="K25" s="190" t="n">
        <x:f>'Assumptions'!$B$33*IF(K$23&gt;=25%,1,IF(K$23&gt;=15%,2,3))+'Assumptions'!$B$34*IF('Assumptions'!$E$14&gt;=1.25,1,IF('Assumptions'!$E$14&gt;=1,2,3))+'Assumptions'!$B$35*IF(('Financial Statements'!$F$22*(1+'Assumptions'!$E$11))/('Financial Statements'!$F$4*(1+$G25)*K$23)&lt;=1,1,IF(('Financial Statements'!$F$22*(1+'Assumptions'!$E$11))/('Financial Statements'!$F$4*(1+$G25)*K$23)&lt;=2,2,3))+'Assumptions'!$B$36*IF((('Financial Statements'!$F$4*(1+$G25)*K$23)-('Financial Statements'!$F$4*(1+$G25)*'Assumptions'!$E$16))/'Assumptions'!$E$10&gt;=8,1,IF((('Financial Statements'!$F$4*(1+$G25)*K$23)-('Financial Statements'!$F$4*(1+$G25)*'Assumptions'!$E$16))/'Assumptions'!$E$10&gt;=4,2,3))+'Assumptions'!$B$37*IF((('Financial Statements'!$F$4*(1+$G25)*'Assumptions'!$E$13)+('Financial Statements'!$F$4*(1+$G25)*'Assumptions'!$E$12))/('Financial Statements'!$F$22*(1+'Assumptions'!$E$11))&gt;=50%,1,IF((('Financial Statements'!$F$4*(1+$G25)*'Assumptions'!$E$13)+('Financial Statements'!$F$4*(1+$G25)*'Assumptions'!$E$12))/('Financial Statements'!$F$22*(1+'Assumptions'!$E$11))&gt;=25%,2,3))</x:f>
        <x:v>1.4</x:v>
      </x:c>
    </x:row>
    <x:row r="26" ht="15" hidden="0" customHeight="1">
      <x:c r="A26" s="207" t="n">
        <x:v>0</x:v>
      </x:c>
      <x:c r="B26" s="257" t="n">
        <x:f>IFERROR((('Financial Statements'!$F$4*(1+$A26)*B$23)-('Financial Statements'!$F$4*(1+$A26)*'Assumptions'!$E$16))/'Assumptions'!$E$10,0)</x:f>
        <x:v>37.13436615384615</x:v>
      </x:c>
      <x:c r="C26" s="257" t="n">
        <x:f>IFERROR((('Financial Statements'!$F$4*(1+$A26)*C$23)-('Financial Statements'!$F$4*(1+$A26)*'Assumptions'!$E$16))/'Assumptions'!$E$10,0)</x:f>
        <x:v>43.53684307692307</x:v>
      </x:c>
      <x:c r="D26" s="257" t="n">
        <x:f>IFERROR((('Financial Statements'!$F$4*(1+$A26)*D$23)-('Financial Statements'!$F$4*(1+$A26)*'Assumptions'!$E$16))/'Assumptions'!$E$10,0)</x:f>
        <x:v>49.93932000000001</x:v>
      </x:c>
      <x:c r="E26" s="208" t="n">
        <x:f>IFERROR((('Financial Statements'!$F$4*(1+$A26)*E$23)-('Financial Statements'!$F$4*(1+$A26)*'Assumptions'!$E$16))/'Assumptions'!$E$10,0)</x:f>
        <x:v>56.34179692307692</x:v>
      </x:c>
      <x:c r="F26" s="128"/>
      <x:c r="G26" s="207" t="n">
        <x:v>0</x:v>
      </x:c>
      <x:c r="H26" s="259" t="n">
        <x:f>'Assumptions'!$B$33*IF(H$23&gt;=25%,1,IF(H$23&gt;=15%,2,3))+'Assumptions'!$B$34*IF('Assumptions'!$E$14&gt;=1.25,1,IF('Assumptions'!$E$14&gt;=1,2,3))+'Assumptions'!$B$35*IF(('Financial Statements'!$F$22*(1+'Assumptions'!$E$11))/('Financial Statements'!$F$4*(1+$G26)*H$23)&lt;=1,1,IF(('Financial Statements'!$F$22*(1+'Assumptions'!$E$11))/('Financial Statements'!$F$4*(1+$G26)*H$23)&lt;=2,2,3))+'Assumptions'!$B$36*IF((('Financial Statements'!$F$4*(1+$G26)*H$23)-('Financial Statements'!$F$4*(1+$G26)*'Assumptions'!$E$16))/'Assumptions'!$E$10&gt;=8,1,IF((('Financial Statements'!$F$4*(1+$G26)*H$23)-('Financial Statements'!$F$4*(1+$G26)*'Assumptions'!$E$16))/'Assumptions'!$E$10&gt;=4,2,3))+'Assumptions'!$B$37*IF((('Financial Statements'!$F$4*(1+$G26)*'Assumptions'!$E$13)+('Financial Statements'!$F$4*(1+$G26)*'Assumptions'!$E$12))/('Financial Statements'!$F$22*(1+'Assumptions'!$E$11))&gt;=50%,1,IF((('Financial Statements'!$F$4*(1+$G26)*'Assumptions'!$E$13)+('Financial Statements'!$F$4*(1+$G26)*'Assumptions'!$E$12))/('Financial Statements'!$F$22*(1+'Assumptions'!$E$11))&gt;=25%,2,3))</x:f>
        <x:v>1.4</x:v>
      </x:c>
      <x:c r="I26" s="259" t="n">
        <x:f>'Assumptions'!$B$33*IF(I$23&gt;=25%,1,IF(I$23&gt;=15%,2,3))+'Assumptions'!$B$34*IF('Assumptions'!$E$14&gt;=1.25,1,IF('Assumptions'!$E$14&gt;=1,2,3))+'Assumptions'!$B$35*IF(('Financial Statements'!$F$22*(1+'Assumptions'!$E$11))/('Financial Statements'!$F$4*(1+$G26)*I$23)&lt;=1,1,IF(('Financial Statements'!$F$22*(1+'Assumptions'!$E$11))/('Financial Statements'!$F$4*(1+$G26)*I$23)&lt;=2,2,3))+'Assumptions'!$B$36*IF((('Financial Statements'!$F$4*(1+$G26)*I$23)-('Financial Statements'!$F$4*(1+$G26)*'Assumptions'!$E$16))/'Assumptions'!$E$10&gt;=8,1,IF((('Financial Statements'!$F$4*(1+$G26)*I$23)-('Financial Statements'!$F$4*(1+$G26)*'Assumptions'!$E$16))/'Assumptions'!$E$10&gt;=4,2,3))+'Assumptions'!$B$37*IF((('Financial Statements'!$F$4*(1+$G26)*'Assumptions'!$E$13)+('Financial Statements'!$F$4*(1+$G26)*'Assumptions'!$E$12))/('Financial Statements'!$F$22*(1+'Assumptions'!$E$11))&gt;=50%,1,IF((('Financial Statements'!$F$4*(1+$G26)*'Assumptions'!$E$13)+('Financial Statements'!$F$4*(1+$G26)*'Assumptions'!$E$12))/('Financial Statements'!$F$22*(1+'Assumptions'!$E$11))&gt;=25%,2,3))</x:f>
        <x:v>1.4</x:v>
      </x:c>
      <x:c r="J26" s="259" t="n">
        <x:f>'Assumptions'!$B$33*IF(J$23&gt;=25%,1,IF(J$23&gt;=15%,2,3))+'Assumptions'!$B$34*IF('Assumptions'!$E$14&gt;=1.25,1,IF('Assumptions'!$E$14&gt;=1,2,3))+'Assumptions'!$B$35*IF(('Financial Statements'!$F$22*(1+'Assumptions'!$E$11))/('Financial Statements'!$F$4*(1+$G26)*J$23)&lt;=1,1,IF(('Financial Statements'!$F$22*(1+'Assumptions'!$E$11))/('Financial Statements'!$F$4*(1+$G26)*J$23)&lt;=2,2,3))+'Assumptions'!$B$36*IF((('Financial Statements'!$F$4*(1+$G26)*J$23)-('Financial Statements'!$F$4*(1+$G26)*'Assumptions'!$E$16))/'Assumptions'!$E$10&gt;=8,1,IF((('Financial Statements'!$F$4*(1+$G26)*J$23)-('Financial Statements'!$F$4*(1+$G26)*'Assumptions'!$E$16))/'Assumptions'!$E$10&gt;=4,2,3))+'Assumptions'!$B$37*IF((('Financial Statements'!$F$4*(1+$G26)*'Assumptions'!$E$13)+('Financial Statements'!$F$4*(1+$G26)*'Assumptions'!$E$12))/('Financial Statements'!$F$22*(1+'Assumptions'!$E$11))&gt;=50%,1,IF((('Financial Statements'!$F$4*(1+$G26)*'Assumptions'!$E$13)+('Financial Statements'!$F$4*(1+$G26)*'Assumptions'!$E$12))/('Financial Statements'!$F$22*(1+'Assumptions'!$E$11))&gt;=25%,2,3))</x:f>
        <x:v>1.4</x:v>
      </x:c>
      <x:c r="K26" s="190" t="n">
        <x:f>'Assumptions'!$B$33*IF(K$23&gt;=25%,1,IF(K$23&gt;=15%,2,3))+'Assumptions'!$B$34*IF('Assumptions'!$E$14&gt;=1.25,1,IF('Assumptions'!$E$14&gt;=1,2,3))+'Assumptions'!$B$35*IF(('Financial Statements'!$F$22*(1+'Assumptions'!$E$11))/('Financial Statements'!$F$4*(1+$G26)*K$23)&lt;=1,1,IF(('Financial Statements'!$F$22*(1+'Assumptions'!$E$11))/('Financial Statements'!$F$4*(1+$G26)*K$23)&lt;=2,2,3))+'Assumptions'!$B$36*IF((('Financial Statements'!$F$4*(1+$G26)*K$23)-('Financial Statements'!$F$4*(1+$G26)*'Assumptions'!$E$16))/'Assumptions'!$E$10&gt;=8,1,IF((('Financial Statements'!$F$4*(1+$G26)*K$23)-('Financial Statements'!$F$4*(1+$G26)*'Assumptions'!$E$16))/'Assumptions'!$E$10&gt;=4,2,3))+'Assumptions'!$B$37*IF((('Financial Statements'!$F$4*(1+$G26)*'Assumptions'!$E$13)+('Financial Statements'!$F$4*(1+$G26)*'Assumptions'!$E$12))/('Financial Statements'!$F$22*(1+'Assumptions'!$E$11))&gt;=50%,1,IF((('Financial Statements'!$F$4*(1+$G26)*'Assumptions'!$E$13)+('Financial Statements'!$F$4*(1+$G26)*'Assumptions'!$E$12))/('Financial Statements'!$F$22*(1+'Assumptions'!$E$11))&gt;=25%,2,3))</x:f>
        <x:v>1.4</x:v>
      </x:c>
    </x:row>
    <x:row r="27" ht="15" hidden="0" customHeight="1">
      <x:c r="A27" s="207" t="n">
        <x:v>0.05</x:v>
      </x:c>
      <x:c r="B27" s="257" t="n">
        <x:f>IFERROR((('Financial Statements'!$F$4*(1+$A27)*B$23)-('Financial Statements'!$F$4*(1+$A27)*'Assumptions'!$E$16))/'Assumptions'!$E$10,0)</x:f>
        <x:v>38.99108446153847</x:v>
      </x:c>
      <x:c r="C27" s="257" t="n">
        <x:f>IFERROR((('Financial Statements'!$F$4*(1+$A27)*C$23)-('Financial Statements'!$F$4*(1+$A27)*'Assumptions'!$E$16))/'Assumptions'!$E$10,0)</x:f>
        <x:v>45.71368523076923</x:v>
      </x:c>
      <x:c r="D27" s="257" t="n">
        <x:f>IFERROR((('Financial Statements'!$F$4*(1+$A27)*D$23)-('Financial Statements'!$F$4*(1+$A27)*'Assumptions'!$E$16))/'Assumptions'!$E$10,0)</x:f>
        <x:v>52.43628600000001</x:v>
      </x:c>
      <x:c r="E27" s="208" t="n">
        <x:f>IFERROR((('Financial Statements'!$F$4*(1+$A27)*E$23)-('Financial Statements'!$F$4*(1+$A27)*'Assumptions'!$E$16))/'Assumptions'!$E$10,0)</x:f>
        <x:v>59.15888676923078</x:v>
      </x:c>
      <x:c r="F27" s="128"/>
      <x:c r="G27" s="207" t="n">
        <x:v>0.05</x:v>
      </x:c>
      <x:c r="H27" s="259" t="n">
        <x:f>'Assumptions'!$B$33*IF(H$23&gt;=25%,1,IF(H$23&gt;=15%,2,3))+'Assumptions'!$B$34*IF('Assumptions'!$E$14&gt;=1.25,1,IF('Assumptions'!$E$14&gt;=1,2,3))+'Assumptions'!$B$35*IF(('Financial Statements'!$F$22*(1+'Assumptions'!$E$11))/('Financial Statements'!$F$4*(1+$G27)*H$23)&lt;=1,1,IF(('Financial Statements'!$F$22*(1+'Assumptions'!$E$11))/('Financial Statements'!$F$4*(1+$G27)*H$23)&lt;=2,2,3))+'Assumptions'!$B$36*IF((('Financial Statements'!$F$4*(1+$G27)*H$23)-('Financial Statements'!$F$4*(1+$G27)*'Assumptions'!$E$16))/'Assumptions'!$E$10&gt;=8,1,IF((('Financial Statements'!$F$4*(1+$G27)*H$23)-('Financial Statements'!$F$4*(1+$G27)*'Assumptions'!$E$16))/'Assumptions'!$E$10&gt;=4,2,3))+'Assumptions'!$B$37*IF((('Financial Statements'!$F$4*(1+$G27)*'Assumptions'!$E$13)+('Financial Statements'!$F$4*(1+$G27)*'Assumptions'!$E$12))/('Financial Statements'!$F$22*(1+'Assumptions'!$E$11))&gt;=50%,1,IF((('Financial Statements'!$F$4*(1+$G27)*'Assumptions'!$E$13)+('Financial Statements'!$F$4*(1+$G27)*'Assumptions'!$E$12))/('Financial Statements'!$F$22*(1+'Assumptions'!$E$11))&gt;=25%,2,3))</x:f>
        <x:v>1.4</x:v>
      </x:c>
      <x:c r="I27" s="259" t="n">
        <x:f>'Assumptions'!$B$33*IF(I$23&gt;=25%,1,IF(I$23&gt;=15%,2,3))+'Assumptions'!$B$34*IF('Assumptions'!$E$14&gt;=1.25,1,IF('Assumptions'!$E$14&gt;=1,2,3))+'Assumptions'!$B$35*IF(('Financial Statements'!$F$22*(1+'Assumptions'!$E$11))/('Financial Statements'!$F$4*(1+$G27)*I$23)&lt;=1,1,IF(('Financial Statements'!$F$22*(1+'Assumptions'!$E$11))/('Financial Statements'!$F$4*(1+$G27)*I$23)&lt;=2,2,3))+'Assumptions'!$B$36*IF((('Financial Statements'!$F$4*(1+$G27)*I$23)-('Financial Statements'!$F$4*(1+$G27)*'Assumptions'!$E$16))/'Assumptions'!$E$10&gt;=8,1,IF((('Financial Statements'!$F$4*(1+$G27)*I$23)-('Financial Statements'!$F$4*(1+$G27)*'Assumptions'!$E$16))/'Assumptions'!$E$10&gt;=4,2,3))+'Assumptions'!$B$37*IF((('Financial Statements'!$F$4*(1+$G27)*'Assumptions'!$E$13)+('Financial Statements'!$F$4*(1+$G27)*'Assumptions'!$E$12))/('Financial Statements'!$F$22*(1+'Assumptions'!$E$11))&gt;=50%,1,IF((('Financial Statements'!$F$4*(1+$G27)*'Assumptions'!$E$13)+('Financial Statements'!$F$4*(1+$G27)*'Assumptions'!$E$12))/('Financial Statements'!$F$22*(1+'Assumptions'!$E$11))&gt;=25%,2,3))</x:f>
        <x:v>1.4</x:v>
      </x:c>
      <x:c r="J27" s="259" t="n">
        <x:f>'Assumptions'!$B$33*IF(J$23&gt;=25%,1,IF(J$23&gt;=15%,2,3))+'Assumptions'!$B$34*IF('Assumptions'!$E$14&gt;=1.25,1,IF('Assumptions'!$E$14&gt;=1,2,3))+'Assumptions'!$B$35*IF(('Financial Statements'!$F$22*(1+'Assumptions'!$E$11))/('Financial Statements'!$F$4*(1+$G27)*J$23)&lt;=1,1,IF(('Financial Statements'!$F$22*(1+'Assumptions'!$E$11))/('Financial Statements'!$F$4*(1+$G27)*J$23)&lt;=2,2,3))+'Assumptions'!$B$36*IF((('Financial Statements'!$F$4*(1+$G27)*J$23)-('Financial Statements'!$F$4*(1+$G27)*'Assumptions'!$E$16))/'Assumptions'!$E$10&gt;=8,1,IF((('Financial Statements'!$F$4*(1+$G27)*J$23)-('Financial Statements'!$F$4*(1+$G27)*'Assumptions'!$E$16))/'Assumptions'!$E$10&gt;=4,2,3))+'Assumptions'!$B$37*IF((('Financial Statements'!$F$4*(1+$G27)*'Assumptions'!$E$13)+('Financial Statements'!$F$4*(1+$G27)*'Assumptions'!$E$12))/('Financial Statements'!$F$22*(1+'Assumptions'!$E$11))&gt;=50%,1,IF((('Financial Statements'!$F$4*(1+$G27)*'Assumptions'!$E$13)+('Financial Statements'!$F$4*(1+$G27)*'Assumptions'!$E$12))/('Financial Statements'!$F$22*(1+'Assumptions'!$E$11))&gt;=25%,2,3))</x:f>
        <x:v>1.4</x:v>
      </x:c>
      <x:c r="K27" s="190" t="n">
        <x:f>'Assumptions'!$B$33*IF(K$23&gt;=25%,1,IF(K$23&gt;=15%,2,3))+'Assumptions'!$B$34*IF('Assumptions'!$E$14&gt;=1.25,1,IF('Assumptions'!$E$14&gt;=1,2,3))+'Assumptions'!$B$35*IF(('Financial Statements'!$F$22*(1+'Assumptions'!$E$11))/('Financial Statements'!$F$4*(1+$G27)*K$23)&lt;=1,1,IF(('Financial Statements'!$F$22*(1+'Assumptions'!$E$11))/('Financial Statements'!$F$4*(1+$G27)*K$23)&lt;=2,2,3))+'Assumptions'!$B$36*IF((('Financial Statements'!$F$4*(1+$G27)*K$23)-('Financial Statements'!$F$4*(1+$G27)*'Assumptions'!$E$16))/'Assumptions'!$E$10&gt;=8,1,IF((('Financial Statements'!$F$4*(1+$G27)*K$23)-('Financial Statements'!$F$4*(1+$G27)*'Assumptions'!$E$16))/'Assumptions'!$E$10&gt;=4,2,3))+'Assumptions'!$B$37*IF((('Financial Statements'!$F$4*(1+$G27)*'Assumptions'!$E$13)+('Financial Statements'!$F$4*(1+$G27)*'Assumptions'!$E$12))/('Financial Statements'!$F$22*(1+'Assumptions'!$E$11))&gt;=50%,1,IF((('Financial Statements'!$F$4*(1+$G27)*'Assumptions'!$E$13)+('Financial Statements'!$F$4*(1+$G27)*'Assumptions'!$E$12))/('Financial Statements'!$F$22*(1+'Assumptions'!$E$11))&gt;=25%,2,3))</x:f>
        <x:v>1.4</x:v>
      </x:c>
    </x:row>
    <x:row r="28" ht="15" hidden="0" customHeight="1">
      <x:c r="A28" s="209" t="n">
        <x:v>0.1</x:v>
      </x:c>
      <x:c r="B28" s="193" t="n">
        <x:f>IFERROR((('Financial Statements'!$F$4*(1+$A28)*B$23)-('Financial Statements'!$F$4*(1+$A28)*'Assumptions'!$E$16))/'Assumptions'!$E$10,0)</x:f>
        <x:v>40.847802769230775</x:v>
      </x:c>
      <x:c r="C28" s="193" t="n">
        <x:f>IFERROR((('Financial Statements'!$F$4*(1+$A28)*C$23)-('Financial Statements'!$F$4*(1+$A28)*'Assumptions'!$E$16))/'Assumptions'!$E$10,0)</x:f>
        <x:v>47.89052738461539</x:v>
      </x:c>
      <x:c r="D28" s="193" t="n">
        <x:f>IFERROR((('Financial Statements'!$F$4*(1+$A28)*D$23)-('Financial Statements'!$F$4*(1+$A28)*'Assumptions'!$E$16))/'Assumptions'!$E$10,0)</x:f>
        <x:v>54.93325200000001</x:v>
      </x:c>
      <x:c r="E28" s="210" t="n">
        <x:f>IFERROR((('Financial Statements'!$F$4*(1+$A28)*E$23)-('Financial Statements'!$F$4*(1+$A28)*'Assumptions'!$E$16))/'Assumptions'!$E$10,0)</x:f>
        <x:v>61.97597661538462</x:v>
      </x:c>
      <x:c r="F28" s="128"/>
      <x:c r="G28" s="209" t="n">
        <x:v>0.1</x:v>
      </x:c>
      <x:c r="H28" s="191" t="n">
        <x:f>'Assumptions'!$B$33*IF(H$23&gt;=25%,1,IF(H$23&gt;=15%,2,3))+'Assumptions'!$B$34*IF('Assumptions'!$E$14&gt;=1.25,1,IF('Assumptions'!$E$14&gt;=1,2,3))+'Assumptions'!$B$35*IF(('Financial Statements'!$F$22*(1+'Assumptions'!$E$11))/('Financial Statements'!$F$4*(1+$G28)*H$23)&lt;=1,1,IF(('Financial Statements'!$F$22*(1+'Assumptions'!$E$11))/('Financial Statements'!$F$4*(1+$G28)*H$23)&lt;=2,2,3))+'Assumptions'!$B$36*IF((('Financial Statements'!$F$4*(1+$G28)*H$23)-('Financial Statements'!$F$4*(1+$G28)*'Assumptions'!$E$16))/'Assumptions'!$E$10&gt;=8,1,IF((('Financial Statements'!$F$4*(1+$G28)*H$23)-('Financial Statements'!$F$4*(1+$G28)*'Assumptions'!$E$16))/'Assumptions'!$E$10&gt;=4,2,3))+'Assumptions'!$B$37*IF((('Financial Statements'!$F$4*(1+$G28)*'Assumptions'!$E$13)+('Financial Statements'!$F$4*(1+$G28)*'Assumptions'!$E$12))/('Financial Statements'!$F$22*(1+'Assumptions'!$E$11))&gt;=50%,1,IF((('Financial Statements'!$F$4*(1+$G28)*'Assumptions'!$E$13)+('Financial Statements'!$F$4*(1+$G28)*'Assumptions'!$E$12))/('Financial Statements'!$F$22*(1+'Assumptions'!$E$11))&gt;=25%,2,3))</x:f>
        <x:v>1.4</x:v>
      </x:c>
      <x:c r="I28" s="191" t="n">
        <x:f>'Assumptions'!$B$33*IF(I$23&gt;=25%,1,IF(I$23&gt;=15%,2,3))+'Assumptions'!$B$34*IF('Assumptions'!$E$14&gt;=1.25,1,IF('Assumptions'!$E$14&gt;=1,2,3))+'Assumptions'!$B$35*IF(('Financial Statements'!$F$22*(1+'Assumptions'!$E$11))/('Financial Statements'!$F$4*(1+$G28)*I$23)&lt;=1,1,IF(('Financial Statements'!$F$22*(1+'Assumptions'!$E$11))/('Financial Statements'!$F$4*(1+$G28)*I$23)&lt;=2,2,3))+'Assumptions'!$B$36*IF((('Financial Statements'!$F$4*(1+$G28)*I$23)-('Financial Statements'!$F$4*(1+$G28)*'Assumptions'!$E$16))/'Assumptions'!$E$10&gt;=8,1,IF((('Financial Statements'!$F$4*(1+$G28)*I$23)-('Financial Statements'!$F$4*(1+$G28)*'Assumptions'!$E$16))/'Assumptions'!$E$10&gt;=4,2,3))+'Assumptions'!$B$37*IF((('Financial Statements'!$F$4*(1+$G28)*'Assumptions'!$E$13)+('Financial Statements'!$F$4*(1+$G28)*'Assumptions'!$E$12))/('Financial Statements'!$F$22*(1+'Assumptions'!$E$11))&gt;=50%,1,IF((('Financial Statements'!$F$4*(1+$G28)*'Assumptions'!$E$13)+('Financial Statements'!$F$4*(1+$G28)*'Assumptions'!$E$12))/('Financial Statements'!$F$22*(1+'Assumptions'!$E$11))&gt;=25%,2,3))</x:f>
        <x:v>1.4</x:v>
      </x:c>
      <x:c r="J28" s="191" t="n">
        <x:f>'Assumptions'!$B$33*IF(J$23&gt;=25%,1,IF(J$23&gt;=15%,2,3))+'Assumptions'!$B$34*IF('Assumptions'!$E$14&gt;=1.25,1,IF('Assumptions'!$E$14&gt;=1,2,3))+'Assumptions'!$B$35*IF(('Financial Statements'!$F$22*(1+'Assumptions'!$E$11))/('Financial Statements'!$F$4*(1+$G28)*J$23)&lt;=1,1,IF(('Financial Statements'!$F$22*(1+'Assumptions'!$E$11))/('Financial Statements'!$F$4*(1+$G28)*J$23)&lt;=2,2,3))+'Assumptions'!$B$36*IF((('Financial Statements'!$F$4*(1+$G28)*J$23)-('Financial Statements'!$F$4*(1+$G28)*'Assumptions'!$E$16))/'Assumptions'!$E$10&gt;=8,1,IF((('Financial Statements'!$F$4*(1+$G28)*J$23)-('Financial Statements'!$F$4*(1+$G28)*'Assumptions'!$E$16))/'Assumptions'!$E$10&gt;=4,2,3))+'Assumptions'!$B$37*IF((('Financial Statements'!$F$4*(1+$G28)*'Assumptions'!$E$13)+('Financial Statements'!$F$4*(1+$G28)*'Assumptions'!$E$12))/('Financial Statements'!$F$22*(1+'Assumptions'!$E$11))&gt;=50%,1,IF((('Financial Statements'!$F$4*(1+$G28)*'Assumptions'!$E$13)+('Financial Statements'!$F$4*(1+$G28)*'Assumptions'!$E$12))/('Financial Statements'!$F$22*(1+'Assumptions'!$E$11))&gt;=25%,2,3))</x:f>
        <x:v>1.4</x:v>
      </x:c>
      <x:c r="K28" s="192" t="n">
        <x:f>'Assumptions'!$B$33*IF(K$23&gt;=25%,1,IF(K$23&gt;=15%,2,3))+'Assumptions'!$B$34*IF('Assumptions'!$E$14&gt;=1.25,1,IF('Assumptions'!$E$14&gt;=1,2,3))+'Assumptions'!$B$35*IF(('Financial Statements'!$F$22*(1+'Assumptions'!$E$11))/('Financial Statements'!$F$4*(1+$G28)*K$23)&lt;=1,1,IF(('Financial Statements'!$F$22*(1+'Assumptions'!$E$11))/('Financial Statements'!$F$4*(1+$G28)*K$23)&lt;=2,2,3))+'Assumptions'!$B$36*IF((('Financial Statements'!$F$4*(1+$G28)*K$23)-('Financial Statements'!$F$4*(1+$G28)*'Assumptions'!$E$16))/'Assumptions'!$E$10&gt;=8,1,IF((('Financial Statements'!$F$4*(1+$G28)*K$23)-('Financial Statements'!$F$4*(1+$G28)*'Assumptions'!$E$16))/'Assumptions'!$E$10&gt;=4,2,3))+'Assumptions'!$B$37*IF((('Financial Statements'!$F$4*(1+$G28)*'Assumptions'!$E$13)+('Financial Statements'!$F$4*(1+$G28)*'Assumptions'!$E$12))/('Financial Statements'!$F$22*(1+'Assumptions'!$E$11))&gt;=50%,1,IF((('Financial Statements'!$F$4*(1+$G28)*'Assumptions'!$E$13)+('Financial Statements'!$F$4*(1+$G28)*'Assumptions'!$E$12))/('Financial Statements'!$F$22*(1+'Assumptions'!$E$11))&gt;=25%,2,3))</x:f>
        <x:v>1.4</x:v>
      </x:c>
    </x:row>
  </x:sheetData>
  <x:mergeCells>
    <x:mergeCell ref="A1:E1"/>
    <x:mergeCell ref="A22:E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4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2" ht="15" hidden="0" customHeight="1">
      <x:c r="B2" s="119" t="str">
        <x:v>Financial Risk Assessment Dashboard</x:v>
      </x:c>
      <x:c r="C2" s="119" t="str">
        <x:v>Financial Risk Assessment Dashboard</x:v>
      </x:c>
      <x:c r="D2" s="119" t="str">
        <x:v>Financial Risk Assessment Dashboard</x:v>
      </x:c>
      <x:c r="E2" s="119" t="str">
        <x:v>Financial Risk Assessment Dashboard</x:v>
      </x:c>
      <x:c r="F2" s="119" t="str">
        <x:v>Financial Risk Assessment Dashboard</x:v>
      </x:c>
      <x:c r="G2" s="119" t="str">
        <x:v>Financial Risk Assessment Dashboard</x:v>
      </x:c>
      <x:c r="H2" s="119" t="str">
        <x:v>Financial Risk Assessment Dashboard</x:v>
      </x:c>
      <x:c r="I2" s="119" t="str">
        <x:v>Financial Risk Assessment Dashboard</x:v>
      </x:c>
      <x:c r="J2" s="119" t="str">
        <x:v>Financial Risk Assessment Dashboard</x:v>
      </x:c>
      <x:c r="K2" s="119" t="str">
        <x:v>Financial Risk Assessment Dashboard</x:v>
      </x:c>
      <x:c r="L2" s="119" t="str">
        <x:v>Financial Risk Assessment Dashboard</x:v>
      </x:c>
    </x:row>
    <x:row r="3" ht="15" hidden="0" customHeight="1">
      <x:c r="B3" s="128"/>
      <x:c r="C3" s="128"/>
      <x:c r="D3" s="128"/>
      <x:c r="E3" s="128"/>
      <x:c r="F3" s="128"/>
      <x:c r="G3" s="128"/>
      <x:c r="H3" s="128"/>
      <x:c r="I3" s="128"/>
      <x:c r="J3" s="128"/>
      <x:c r="K3" s="128"/>
      <x:c r="L3" s="128"/>
    </x:row>
    <x:row r="4" ht="15" hidden="0" customHeight="1">
      <x:c r="B4" s="238" t="str">
        <x:v>Active Scenario</x:v>
      </x:c>
      <x:c r="C4" s="239" t="str">
        <x:f>'Assumptions'!B4</x:f>
        <x:v>Base Case</x:v>
      </x:c>
      <x:c r="D4" s="239" t="str">
        <x:v>Overall Risk</x:v>
      </x:c>
      <x:c r="E4" s="240" t="str">
        <x:f>'Risk Assessment'!G18</x:f>
        <x:v>Low Risk</x:v>
      </x:c>
      <x:c r="F4" s="128"/>
      <x:c r="G4" s="128"/>
      <x:c r="H4" s="128"/>
      <x:c r="I4" s="128"/>
      <x:c r="J4" s="128"/>
      <x:c r="K4" s="128"/>
      <x:c r="L4" s="128"/>
    </x:row>
    <x:row r="5" ht="15" hidden="0" customHeight="1">
      <x:c r="B5" s="128"/>
      <x:c r="C5" s="128"/>
      <x:c r="D5" s="128"/>
      <x:c r="E5" s="128"/>
      <x:c r="F5" s="128"/>
      <x:c r="G5" s="128"/>
      <x:c r="H5" s="128"/>
      <x:c r="I5" s="128"/>
      <x:c r="J5" s="128"/>
      <x:c r="K5" s="128"/>
      <x:c r="L5" s="128"/>
    </x:row>
    <x:row r="6" ht="15" hidden="0" customHeight="1">
      <x:c r="B6" s="127" t="str">
        <x:v>Top KPIs</x:v>
      </x:c>
      <x:c r="C6" s="127" t="str"/>
      <x:c r="D6" s="127" t="str"/>
      <x:c r="E6" s="127" t="str"/>
      <x:c r="F6" s="127" t="str"/>
      <x:c r="G6" s="127" t="str"/>
      <x:c r="H6" s="127" t="str"/>
      <x:c r="I6" s="127" t="str"/>
      <x:c r="J6" s="127" t="str"/>
      <x:c r="K6" s="127" t="str"/>
      <x:c r="L6" s="127" t="str"/>
    </x:row>
    <x:row r="7" ht="15" hidden="0" customHeight="1">
      <x:c r="B7" s="128"/>
      <x:c r="C7" s="128"/>
      <x:c r="D7" s="128"/>
      <x:c r="E7" s="128"/>
      <x:c r="F7" s="128"/>
      <x:c r="G7" s="128"/>
      <x:c r="H7" s="128"/>
      <x:c r="I7" s="128"/>
      <x:c r="J7" s="128"/>
      <x:c r="K7" s="128"/>
      <x:c r="L7" s="128"/>
    </x:row>
    <x:row r="8" ht="15" hidden="0" customHeight="1">
      <x:c r="B8" s="215" t="str">
        <x:v>Revenue</x:v>
      </x:c>
      <x:c r="C8" s="216" t="str">
        <x:v>Revenue</x:v>
      </x:c>
      <x:c r="D8" s="128"/>
      <x:c r="E8" s="215" t="str">
        <x:v>EBITDA</x:v>
      </x:c>
      <x:c r="F8" s="216" t="str">
        <x:v>EBITDA</x:v>
      </x:c>
      <x:c r="G8" s="128"/>
      <x:c r="H8" s="215" t="str">
        <x:v>EBITDA Margin</x:v>
      </x:c>
      <x:c r="I8" s="216" t="str">
        <x:v>EBITDA Margin</x:v>
      </x:c>
      <x:c r="J8" s="128"/>
      <x:c r="K8" s="128"/>
      <x:c r="L8" s="128"/>
    </x:row>
    <x:row r="9" ht="15" hidden="0" customHeight="1">
      <x:c r="B9" s="217" t="n">
        <x:f>'Financial Statements'!F4</x:f>
        <x:v>416161</x:v>
      </x:c>
      <x:c r="C9" s="218"/>
      <x:c r="D9" s="128"/>
      <x:c r="E9" s="217" t="n">
        <x:f>'Financial Statements'!F10</x:f>
        <x:v>144748</x:v>
      </x:c>
      <x:c r="F9" s="218"/>
      <x:c r="G9" s="128"/>
      <x:c r="H9" s="219" t="n">
        <x:f>'Ratio Analysis'!H5</x:f>
        <x:v>0.3478173110887373</x:v>
      </x:c>
      <x:c r="I9" s="220"/>
      <x:c r="J9" s="128"/>
      <x:c r="K9" s="128"/>
      <x:c r="L9" s="128"/>
    </x:row>
    <x:row r="10" ht="15" hidden="0" customHeight="1">
      <x:c r="B10" s="128"/>
      <x:c r="C10" s="128"/>
      <x:c r="D10" s="128"/>
      <x:c r="E10" s="128"/>
      <x:c r="F10" s="128"/>
      <x:c r="G10" s="128"/>
      <x:c r="H10" s="128"/>
      <x:c r="I10" s="128"/>
      <x:c r="J10" s="128"/>
      <x:c r="K10" s="128"/>
      <x:c r="L10" s="128"/>
    </x:row>
    <x:row r="11" ht="15" hidden="0" customHeight="1">
      <x:c r="B11" s="215" t="str">
        <x:v>Total Debt</x:v>
      </x:c>
      <x:c r="C11" s="216" t="str">
        <x:v>Total Debt</x:v>
      </x:c>
      <x:c r="D11" s="128"/>
      <x:c r="E11" s="215" t="str">
        <x:v>Net Debt / EBITDA</x:v>
      </x:c>
      <x:c r="F11" s="216" t="str">
        <x:v>Net Debt / EBITDA</x:v>
      </x:c>
      <x:c r="G11" s="128"/>
      <x:c r="H11" s="215" t="str">
        <x:v>EBIT / Cash Interest Proxy</x:v>
      </x:c>
      <x:c r="I11" s="216" t="str">
        <x:v>EBIT / Cash Interest Proxy</x:v>
      </x:c>
      <x:c r="J11" s="128"/>
      <x:c r="K11" s="128"/>
      <x:c r="L11" s="128"/>
    </x:row>
    <x:row r="12" ht="15" hidden="0" customHeight="1">
      <x:c r="B12" s="217" t="n">
        <x:f>'Financial Statements'!F22</x:f>
        <x:v>98657</x:v>
      </x:c>
      <x:c r="C12" s="218"/>
      <x:c r="D12" s="128"/>
      <x:c r="E12" s="221" t="n">
        <x:f>'Ratio Analysis'!H14</x:f>
        <x:v>0.43332550363390165</x:v>
      </x:c>
      <x:c r="F12" s="222"/>
      <x:c r="G12" s="128"/>
      <x:c r="H12" s="221" t="n">
        <x:f>'Ratio Analysis'!H16</x:f>
        <x:v>51.17307692307692</x:v>
      </x:c>
      <x:c r="I12" s="222" t="n">
        <x:f>'Ratio Analysis'!H16</x:f>
        <x:v>51.17307692307692</x:v>
      </x:c>
      <x:c r="J12" s="128"/>
      <x:c r="K12" s="128"/>
      <x:c r="L12" s="128"/>
    </x:row>
    <x:row r="13" ht="15" hidden="0" customHeight="1">
      <x:c r="B13" s="128"/>
      <x:c r="C13" s="128"/>
      <x:c r="D13" s="128"/>
      <x:c r="E13" s="128"/>
      <x:c r="F13" s="128"/>
      <x:c r="G13" s="128"/>
      <x:c r="H13" s="128"/>
      <x:c r="I13" s="128"/>
      <x:c r="J13" s="128"/>
      <x:c r="K13" s="128"/>
      <x:c r="L13" s="128"/>
    </x:row>
    <x:row r="14" ht="15" hidden="0" customHeight="1">
      <x:c r="B14" s="215" t="str">
        <x:v>Current Ratio</x:v>
      </x:c>
      <x:c r="C14" s="216" t="str">
        <x:v>Current Ratio</x:v>
      </x:c>
      <x:c r="D14" s="128"/>
      <x:c r="E14" s="215" t="str">
        <x:v>Free Cash Flow</x:v>
      </x:c>
      <x:c r="F14" s="216" t="str">
        <x:v>Free Cash Flow</x:v>
      </x:c>
      <x:c r="G14" s="128"/>
      <x:c r="H14" s="215" t="str">
        <x:v>2026E Risk Score</x:v>
      </x:c>
      <x:c r="I14" s="216" t="str">
        <x:v>2026E Risk Score</x:v>
      </x:c>
      <x:c r="J14" s="128"/>
      <x:c r="K14" s="128"/>
      <x:c r="L14" s="128"/>
    </x:row>
    <x:row r="15" ht="15" hidden="0" customHeight="1">
      <x:c r="B15" s="221" t="n">
        <x:f>'Ratio Analysis'!H10</x:f>
        <x:v>0.8932929222186667</x:v>
      </x:c>
      <x:c r="C15" s="222"/>
      <x:c r="D15" s="128"/>
      <x:c r="E15" s="217" t="n">
        <x:f>'Financial Statements'!F27</x:f>
        <x:v>98767</x:v>
      </x:c>
      <x:c r="F15" s="218"/>
      <x:c r="G15" s="128"/>
      <x:c r="H15" s="223" t="n">
        <x:f>'Risk Assessment'!D20</x:f>
        <x:v>1.4</x:v>
      </x:c>
      <x:c r="I15" s="224" t="n">
        <x:f>'Risk Assessment'!D20</x:f>
        <x:v>1.4</x:v>
      </x:c>
      <x:c r="J15" s="128"/>
      <x:c r="K15" s="128"/>
      <x:c r="L15" s="128"/>
    </x:row>
    <x:row r="16" ht="15" hidden="0" customHeight="1">
      <x:c r="B16" s="128"/>
      <x:c r="C16" s="128"/>
      <x:c r="D16" s="128"/>
      <x:c r="E16" s="128"/>
      <x:c r="F16" s="128"/>
      <x:c r="G16" s="128"/>
      <x:c r="H16" s="128"/>
      <x:c r="I16" s="128"/>
      <x:c r="J16" s="128"/>
      <x:c r="K16" s="128"/>
      <x:c r="L16" s="128"/>
    </x:row>
    <x:row r="17" ht="15" hidden="0" customHeight="1">
      <x:c r="B17" s="128"/>
      <x:c r="C17" s="128"/>
      <x:c r="D17" s="128"/>
      <x:c r="E17" s="128"/>
      <x:c r="F17" s="128"/>
      <x:c r="G17" s="128"/>
      <x:c r="H17" s="128"/>
      <x:c r="I17" s="128"/>
      <x:c r="J17" s="128"/>
      <x:c r="K17" s="128"/>
      <x:c r="L17" s="128"/>
    </x:row>
    <x:row r="18" ht="15" hidden="0" customHeight="1">
      <x:c r="B18" s="241" t="str">
        <x:v>Year</x:v>
      </x:c>
      <x:c r="C18" s="241" t="str">
        <x:v>Revenue</x:v>
      </x:c>
      <x:c r="D18" s="241" t="str">
        <x:v>EBITDA</x:v>
      </x:c>
      <x:c r="E18" s="241"/>
      <x:c r="F18" s="241"/>
      <x:c r="G18" s="241" t="str">
        <x:v>Year</x:v>
      </x:c>
      <x:c r="H18" s="241" t="str">
        <x:v>Total Debt</x:v>
      </x:c>
      <x:c r="I18" s="241" t="str">
        <x:v>EBITDA</x:v>
      </x:c>
      <x:c r="J18" s="128"/>
      <x:c r="K18" s="128"/>
      <x:c r="L18" s="128"/>
    </x:row>
    <x:row r="19" ht="15" hidden="0" customHeight="1">
      <x:c r="B19" s="241" t="str">
        <x:f>'Financial Statements'!B3</x:f>
        <x:v>2021A</x:v>
      </x:c>
      <x:c r="C19" s="241" t="n">
        <x:f>'Financial Statements'!B4</x:f>
        <x:v>365817</x:v>
      </x:c>
      <x:c r="D19" s="241" t="n">
        <x:f>'Financial Statements'!B10</x:f>
        <x:v>120233</x:v>
      </x:c>
      <x:c r="E19" s="241"/>
      <x:c r="F19" s="241"/>
      <x:c r="G19" s="241" t="str">
        <x:f>'Financial Statements'!B3</x:f>
        <x:v>2021A</x:v>
      </x:c>
      <x:c r="H19" s="241" t="n">
        <x:f>'Financial Statements'!B22</x:f>
        <x:v>124719</x:v>
      </x:c>
      <x:c r="I19" s="241" t="n">
        <x:f>'Financial Statements'!B10</x:f>
        <x:v>120233</x:v>
      </x:c>
      <x:c r="J19" s="128"/>
      <x:c r="K19" s="128"/>
      <x:c r="L19" s="128"/>
    </x:row>
    <x:row r="20" ht="15" hidden="0" customHeight="1">
      <x:c r="B20" s="241" t="str">
        <x:f>'Financial Statements'!C3</x:f>
        <x:v>2022A</x:v>
      </x:c>
      <x:c r="C20" s="241" t="n">
        <x:f>'Financial Statements'!C4</x:f>
        <x:v>394328</x:v>
      </x:c>
      <x:c r="D20" s="241" t="n">
        <x:f>'Financial Statements'!C10</x:f>
        <x:v>130541</x:v>
      </x:c>
      <x:c r="E20" s="241"/>
      <x:c r="F20" s="241"/>
      <x:c r="G20" s="241" t="str">
        <x:f>'Financial Statements'!C3</x:f>
        <x:v>2022A</x:v>
      </x:c>
      <x:c r="H20" s="241" t="n">
        <x:f>'Financial Statements'!C22</x:f>
        <x:v>120069</x:v>
      </x:c>
      <x:c r="I20" s="241" t="n">
        <x:f>'Financial Statements'!C10</x:f>
        <x:v>130541</x:v>
      </x:c>
      <x:c r="J20" s="128"/>
      <x:c r="K20" s="128"/>
      <x:c r="L20" s="128"/>
    </x:row>
    <x:row r="21" ht="15" hidden="0" customHeight="1">
      <x:c r="B21" s="241" t="str">
        <x:f>'Financial Statements'!D3</x:f>
        <x:v>2023A</x:v>
      </x:c>
      <x:c r="C21" s="241" t="n">
        <x:f>'Financial Statements'!D4</x:f>
        <x:v>383285</x:v>
      </x:c>
      <x:c r="D21" s="241" t="n">
        <x:f>'Financial Statements'!D10</x:f>
        <x:v>125820</x:v>
      </x:c>
      <x:c r="E21" s="241"/>
      <x:c r="F21" s="241"/>
      <x:c r="G21" s="241" t="str">
        <x:f>'Financial Statements'!D3</x:f>
        <x:v>2023A</x:v>
      </x:c>
      <x:c r="H21" s="241" t="n">
        <x:f>'Financial Statements'!D22</x:f>
        <x:v>111088</x:v>
      </x:c>
      <x:c r="I21" s="241" t="n">
        <x:f>'Financial Statements'!D10</x:f>
        <x:v>125820</x:v>
      </x:c>
      <x:c r="J21" s="128"/>
      <x:c r="K21" s="128"/>
      <x:c r="L21" s="128"/>
    </x:row>
    <x:row r="22" ht="15" hidden="0" customHeight="1">
      <x:c r="B22" s="241" t="str">
        <x:f>'Financial Statements'!E3</x:f>
        <x:v>2024A</x:v>
      </x:c>
      <x:c r="C22" s="241" t="n">
        <x:f>'Financial Statements'!E4</x:f>
        <x:v>391035</x:v>
      </x:c>
      <x:c r="D22" s="241" t="n">
        <x:f>'Financial Statements'!E10</x:f>
        <x:v>134661</x:v>
      </x:c>
      <x:c r="E22" s="241"/>
      <x:c r="F22" s="241"/>
      <x:c r="G22" s="241" t="str">
        <x:f>'Financial Statements'!E3</x:f>
        <x:v>2024A</x:v>
      </x:c>
      <x:c r="H22" s="241" t="n">
        <x:f>'Financial Statements'!E22</x:f>
        <x:v>106629</x:v>
      </x:c>
      <x:c r="I22" s="241" t="n">
        <x:f>'Financial Statements'!E10</x:f>
        <x:v>134661</x:v>
      </x:c>
      <x:c r="J22" s="128"/>
      <x:c r="K22" s="128"/>
      <x:c r="L22" s="128"/>
    </x:row>
    <x:row r="23" ht="15" hidden="0" customHeight="1">
      <x:c r="B23" s="241" t="str">
        <x:f>'Financial Statements'!F3</x:f>
        <x:v>2025A</x:v>
      </x:c>
      <x:c r="C23" s="241" t="n">
        <x:f>'Financial Statements'!F4</x:f>
        <x:v>416161</x:v>
      </x:c>
      <x:c r="D23" s="241" t="n">
        <x:f>'Financial Statements'!F10</x:f>
        <x:v>144748</x:v>
      </x:c>
      <x:c r="E23" s="241"/>
      <x:c r="F23" s="241"/>
      <x:c r="G23" s="241" t="str">
        <x:f>'Financial Statements'!F3</x:f>
        <x:v>2025A</x:v>
      </x:c>
      <x:c r="H23" s="241" t="n">
        <x:f>'Financial Statements'!F22</x:f>
        <x:v>98657</x:v>
      </x:c>
      <x:c r="I23" s="241" t="n">
        <x:f>'Financial Statements'!F10</x:f>
        <x:v>144748</x:v>
      </x:c>
      <x:c r="J23" s="128"/>
      <x:c r="K23" s="128"/>
      <x:c r="L23" s="128"/>
    </x:row>
    <x:row r="24" ht="15" hidden="0" customHeight="1">
      <x:c r="B24" s="241" t="str">
        <x:f>'Financial Statements'!G3</x:f>
        <x:v>2026E</x:v>
      </x:c>
      <x:c r="C24" s="241" t="n">
        <x:f>'Financial Statements'!G4</x:f>
        <x:v>432807.44</x:v>
      </x:c>
      <x:c r="D24" s="241" t="n">
        <x:f>'Financial Statements'!G10</x:f>
        <x:v>150616.98911999998</x:v>
      </x:c>
      <x:c r="E24" s="241"/>
      <x:c r="F24" s="241"/>
      <x:c r="G24" s="241" t="str">
        <x:f>'Financial Statements'!G3</x:f>
        <x:v>2026E</x:v>
      </x:c>
      <x:c r="H24" s="241" t="n">
        <x:f>'Financial Statements'!G22</x:f>
        <x:v>98657</x:v>
      </x:c>
      <x:c r="I24" s="241" t="n">
        <x:f>'Financial Statements'!G10</x:f>
        <x:v>150616.98911999998</x:v>
      </x:c>
      <x:c r="J24" s="128"/>
      <x:c r="K24" s="128"/>
      <x:c r="L24" s="128"/>
    </x:row>
    <x:row r="25" ht="15" hidden="0" customHeight="1">
      <x:c r="B25" s="241" t="str">
        <x:f>'Financial Statements'!H3</x:f>
        <x:v>2027E</x:v>
      </x:c>
      <x:c r="C25" s="241" t="n">
        <x:f>'Financial Statements'!H4</x:f>
        <x:v>450119.7376</x:v>
      </x:c>
      <x:c r="D25" s="241" t="n">
        <x:f>'Financial Statements'!H10</x:f>
        <x:v>156641.66868479998</x:v>
      </x:c>
      <x:c r="E25" s="241"/>
      <x:c r="F25" s="241"/>
      <x:c r="G25" s="241" t="str">
        <x:f>'Financial Statements'!H3</x:f>
        <x:v>2027E</x:v>
      </x:c>
      <x:c r="H25" s="241" t="n">
        <x:f>'Financial Statements'!H22</x:f>
        <x:v>98657</x:v>
      </x:c>
      <x:c r="I25" s="241" t="n">
        <x:f>'Financial Statements'!H10</x:f>
        <x:v>156641.66868479998</x:v>
      </x:c>
      <x:c r="J25" s="128"/>
      <x:c r="K25" s="128"/>
      <x:c r="L25" s="128"/>
    </x:row>
    <x:row r="26" ht="15" hidden="0" customHeight="1">
      <x:c r="B26" s="241" t="str">
        <x:f>'Financial Statements'!I3</x:f>
        <x:v>2028E</x:v>
      </x:c>
      <x:c r="C26" s="241" t="n">
        <x:f>'Financial Statements'!I4</x:f>
        <x:v>468124.52710400004</x:v>
      </x:c>
      <x:c r="D26" s="241" t="n">
        <x:f>'Financial Statements'!I10</x:f>
        <x:v>162907.335432192</x:v>
      </x:c>
      <x:c r="E26" s="241"/>
      <x:c r="F26" s="241"/>
      <x:c r="G26" s="241" t="str">
        <x:f>'Financial Statements'!I3</x:f>
        <x:v>2028E</x:v>
      </x:c>
      <x:c r="H26" s="241" t="n">
        <x:f>'Financial Statements'!I22</x:f>
        <x:v>98657</x:v>
      </x:c>
      <x:c r="I26" s="241" t="n">
        <x:f>'Financial Statements'!I10</x:f>
        <x:v>162907.335432192</x:v>
      </x:c>
      <x:c r="J26" s="128"/>
      <x:c r="K26" s="128"/>
      <x:c r="L26" s="128"/>
    </x:row>
    <x:row r="27" ht="15" hidden="0" customHeight="1">
      <x:c r="B27" s="241"/>
      <x:c r="C27" s="241"/>
      <x:c r="D27" s="241"/>
      <x:c r="E27" s="241"/>
      <x:c r="F27" s="241"/>
      <x:c r="G27" s="241"/>
      <x:c r="H27" s="241"/>
      <x:c r="I27" s="241"/>
      <x:c r="J27" s="128"/>
      <x:c r="K27" s="128"/>
      <x:c r="L27" s="128"/>
    </x:row>
    <x:row r="28" ht="15" hidden="0" customHeight="1">
      <x:c r="B28" s="241"/>
      <x:c r="C28" s="241"/>
      <x:c r="D28" s="241"/>
      <x:c r="E28" s="241"/>
      <x:c r="F28" s="241"/>
      <x:c r="G28" s="241"/>
      <x:c r="H28" s="241"/>
      <x:c r="I28" s="241"/>
      <x:c r="J28" s="128"/>
      <x:c r="K28" s="128"/>
      <x:c r="L28" s="128"/>
    </x:row>
    <x:row r="29" ht="15" hidden="0" customHeight="1">
      <x:c r="B29" s="241"/>
      <x:c r="C29" s="241"/>
      <x:c r="D29" s="241"/>
      <x:c r="E29" s="241"/>
      <x:c r="F29" s="241"/>
      <x:c r="G29" s="241"/>
      <x:c r="H29" s="241"/>
      <x:c r="I29" s="241"/>
      <x:c r="J29" s="128"/>
      <x:c r="K29" s="128"/>
      <x:c r="L29" s="128"/>
    </x:row>
    <x:row r="30" ht="15" hidden="0" customHeight="1">
      <x:c r="B30" s="241"/>
      <x:c r="C30" s="241"/>
      <x:c r="D30" s="241"/>
      <x:c r="E30" s="241"/>
      <x:c r="F30" s="241"/>
      <x:c r="G30" s="241"/>
      <x:c r="H30" s="241"/>
      <x:c r="I30" s="241"/>
      <x:c r="J30" s="128"/>
      <x:c r="K30" s="128"/>
      <x:c r="L30" s="128"/>
    </x:row>
    <x:row r="31" ht="15" hidden="0" customHeight="1">
      <x:c r="B31" s="241"/>
      <x:c r="C31" s="241"/>
      <x:c r="D31" s="241"/>
      <x:c r="E31" s="241"/>
      <x:c r="F31" s="241"/>
      <x:c r="G31" s="241"/>
      <x:c r="H31" s="241"/>
      <x:c r="I31" s="241"/>
      <x:c r="J31" s="128"/>
      <x:c r="K31" s="128"/>
      <x:c r="L31" s="128"/>
    </x:row>
    <x:row r="32" ht="15" hidden="0" customHeight="1">
      <x:c r="B32" s="241"/>
      <x:c r="C32" s="241"/>
      <x:c r="D32" s="241"/>
      <x:c r="E32" s="241"/>
      <x:c r="F32" s="241"/>
      <x:c r="G32" s="241"/>
      <x:c r="H32" s="241"/>
      <x:c r="I32" s="241"/>
      <x:c r="J32" s="128"/>
      <x:c r="K32" s="128"/>
      <x:c r="L32" s="128"/>
    </x:row>
    <x:row r="33" ht="15" hidden="0" customHeight="1">
      <x:c r="B33" s="241"/>
      <x:c r="C33" s="241"/>
      <x:c r="D33" s="241"/>
      <x:c r="E33" s="241"/>
      <x:c r="F33" s="241"/>
      <x:c r="G33" s="241"/>
      <x:c r="H33" s="241"/>
      <x:c r="I33" s="241"/>
      <x:c r="J33" s="128"/>
      <x:c r="K33" s="128"/>
      <x:c r="L33" s="128"/>
    </x:row>
    <x:row r="34" ht="15" hidden="0" customHeight="1">
      <x:c r="B34" s="241"/>
      <x:c r="C34" s="241"/>
      <x:c r="D34" s="241"/>
      <x:c r="E34" s="241"/>
      <x:c r="F34" s="241"/>
      <x:c r="G34" s="241"/>
      <x:c r="H34" s="241"/>
      <x:c r="I34" s="241"/>
      <x:c r="J34" s="128"/>
      <x:c r="K34" s="128"/>
      <x:c r="L34" s="128"/>
    </x:row>
    <x:row r="35" ht="15" hidden="0" customHeight="1">
      <x:c r="B35" s="241"/>
      <x:c r="C35" s="241"/>
      <x:c r="D35" s="241"/>
      <x:c r="E35" s="241"/>
      <x:c r="F35" s="241"/>
      <x:c r="G35" s="241"/>
      <x:c r="H35" s="241"/>
      <x:c r="I35" s="241"/>
      <x:c r="J35" s="128"/>
      <x:c r="K35" s="128"/>
      <x:c r="L35" s="128"/>
    </x:row>
    <x:row r="36" ht="15" hidden="0" customHeight="1">
      <x:c r="B36" s="241" t="str">
        <x:v>Year</x:v>
      </x:c>
      <x:c r="C36" s="241" t="str">
        <x:v>EBIT / Cash Interest Proxy</x:v>
      </x:c>
      <x:c r="D36" s="241"/>
      <x:c r="E36" s="241"/>
      <x:c r="F36" s="241"/>
      <x:c r="G36" s="241" t="str">
        <x:v>Year</x:v>
      </x:c>
      <x:c r="H36" s="241" t="str">
        <x:v>Free Cash Flow</x:v>
      </x:c>
      <x:c r="I36" s="241"/>
      <x:c r="J36" s="128"/>
      <x:c r="K36" s="128"/>
      <x:c r="L36" s="128"/>
    </x:row>
    <x:row r="37" ht="15" hidden="0" customHeight="1">
      <x:c r="B37" s="241" t="str">
        <x:f>'Financial Statements'!B3</x:f>
        <x:v>2021A</x:v>
      </x:c>
      <x:c r="C37" s="241" t="n">
        <x:f>'Ratio Analysis'!D16</x:f>
        <x:v>40.54670636397469</x:v>
      </x:c>
      <x:c r="D37" s="241"/>
      <x:c r="E37" s="241"/>
      <x:c r="F37" s="241"/>
      <x:c r="G37" s="241" t="str">
        <x:f>'Financial Statements'!B3</x:f>
        <x:v>2021A</x:v>
      </x:c>
      <x:c r="H37" s="241" t="n">
        <x:f>'Financial Statements'!B27</x:f>
        <x:v>92953</x:v>
      </x:c>
      <x:c r="I37" s="241"/>
      <x:c r="J37" s="128"/>
      <x:c r="K37" s="128"/>
      <x:c r="L37" s="128"/>
    </x:row>
    <x:row r="38" ht="15" hidden="0" customHeight="1">
      <x:c r="B38" s="241" t="str">
        <x:f>'Financial Statements'!C3</x:f>
        <x:v>2022A</x:v>
      </x:c>
      <x:c r="C38" s="241" t="n">
        <x:f>'Ratio Analysis'!E16</x:f>
        <x:v>41.68830715532286</x:v>
      </x:c>
      <x:c r="D38" s="241"/>
      <x:c r="E38" s="241"/>
      <x:c r="F38" s="241"/>
      <x:c r="G38" s="241" t="str">
        <x:f>'Financial Statements'!C3</x:f>
        <x:v>2022A</x:v>
      </x:c>
      <x:c r="H38" s="241" t="n">
        <x:f>'Financial Statements'!C27</x:f>
        <x:v>111443</x:v>
      </x:c>
      <x:c r="I38" s="241"/>
      <x:c r="J38" s="128"/>
      <x:c r="K38" s="128"/>
      <x:c r="L38" s="128"/>
    </x:row>
    <x:row r="39" ht="15" hidden="0" customHeight="1">
      <x:c r="B39" s="241" t="str">
        <x:f>'Financial Statements'!D3</x:f>
        <x:v>2023A</x:v>
      </x:c>
      <x:c r="C39" s="241" t="n">
        <x:f>'Ratio Analysis'!F16</x:f>
        <x:v>29.062039155860667</x:v>
      </x:c>
      <x:c r="D39" s="241"/>
      <x:c r="E39" s="241"/>
      <x:c r="F39" s="241"/>
      <x:c r="G39" s="241" t="str">
        <x:f>'Financial Statements'!D3</x:f>
        <x:v>2023A</x:v>
      </x:c>
      <x:c r="H39" s="241" t="n">
        <x:f>'Financial Statements'!D27</x:f>
        <x:v>99584</x:v>
      </x:c>
      <x:c r="I39" s="241"/>
      <x:c r="J39" s="128"/>
      <x:c r="K39" s="128"/>
      <x:c r="L39" s="128"/>
    </x:row>
    <x:row r="40" ht="15" hidden="0" customHeight="1">
      <x:c r="B40" s="241" t="str">
        <x:f>'Financial Statements'!E3</x:f>
        <x:v>2024A</x:v>
      </x:c>
      <x:c r="C40" s="241" t="n">
        <x:f>'Ratio Analysis'!G16</x:f>
        <x:v>41.072</x:v>
      </x:c>
      <x:c r="D40" s="241"/>
      <x:c r="E40" s="241"/>
      <x:c r="F40" s="241"/>
      <x:c r="G40" s="241" t="str">
        <x:f>'Financial Statements'!E3</x:f>
        <x:v>2024A</x:v>
      </x:c>
      <x:c r="H40" s="241" t="n">
        <x:f>'Financial Statements'!E27</x:f>
        <x:v>108807</x:v>
      </x:c>
      <x:c r="I40" s="241"/>
      <x:c r="J40" s="128"/>
      <x:c r="K40" s="128"/>
      <x:c r="L40" s="128"/>
    </x:row>
    <x:row r="41" ht="15" hidden="0" customHeight="1">
      <x:c r="B41" s="241" t="str">
        <x:f>'Financial Statements'!F3</x:f>
        <x:v>2025A</x:v>
      </x:c>
      <x:c r="C41" s="241" t="n">
        <x:f>'Ratio Analysis'!H16</x:f>
        <x:v>51.17307692307692</x:v>
      </x:c>
      <x:c r="D41" s="241"/>
      <x:c r="E41" s="241"/>
      <x:c r="F41" s="241"/>
      <x:c r="G41" s="241" t="str">
        <x:f>'Financial Statements'!F3</x:f>
        <x:v>2025A</x:v>
      </x:c>
      <x:c r="H41" s="241" t="n">
        <x:f>'Financial Statements'!F27</x:f>
        <x:v>98767</x:v>
      </x:c>
      <x:c r="I41" s="241"/>
      <x:c r="J41" s="128"/>
      <x:c r="K41" s="128"/>
      <x:c r="L41" s="128"/>
    </x:row>
    <x:row r="42" ht="15" hidden="0" customHeight="1">
      <x:c r="B42" s="241" t="str">
        <x:f>'Financial Statements'!G3</x:f>
        <x:v>2026E</x:v>
      </x:c>
      <x:c r="C42" s="241" t="n">
        <x:f>'Ratio Analysis'!I16</x:f>
        <x:v>53.26860799999999</x:v>
      </x:c>
      <x:c r="D42" s="241"/>
      <x:c r="E42" s="241"/>
      <x:c r="F42" s="241"/>
      <x:c r="G42" s="241" t="str">
        <x:f>'Financial Statements'!G3</x:f>
        <x:v>2026E</x:v>
      </x:c>
      <x:c r="H42" s="241" t="n">
        <x:f>'Financial Statements'!G27</x:f>
        <x:v>103008.17072</x:v>
      </x:c>
      <x:c r="I42" s="241"/>
      <x:c r="J42" s="128"/>
      <x:c r="K42" s="128"/>
      <x:c r="L42" s="128"/>
    </x:row>
    <x:row r="43" ht="15" hidden="0" customHeight="1">
      <x:c r="B43" s="241" t="str">
        <x:f>'Financial Statements'!H3</x:f>
        <x:v>2027E</x:v>
      </x:c>
      <x:c r="C43" s="241" t="n">
        <x:f>'Ratio Analysis'!J16</x:f>
        <x:v>55.39935231999999</x:v>
      </x:c>
      <x:c r="D43" s="241"/>
      <x:c r="E43" s="241"/>
      <x:c r="F43" s="241"/>
      <x:c r="G43" s="241" t="str">
        <x:f>'Financial Statements'!H3</x:f>
        <x:v>2027E</x:v>
      </x:c>
      <x:c r="H43" s="241" t="n">
        <x:f>'Financial Statements'!H27</x:f>
        <x:v>107128.4975488</x:v>
      </x:c>
      <x:c r="I43" s="241"/>
      <x:c r="J43" s="128"/>
      <x:c r="K43" s="128"/>
      <x:c r="L43" s="128"/>
    </x:row>
    <x:row r="44" ht="15" hidden="0" customHeight="1">
      <x:c r="B44" s="241" t="str">
        <x:f>'Financial Statements'!I3</x:f>
        <x:v>2028E</x:v>
      </x:c>
      <x:c r="C44" s="241" t="n">
        <x:f>'Ratio Analysis'!K16</x:f>
        <x:v>57.615326412799995</x:v>
      </x:c>
      <x:c r="D44" s="241"/>
      <x:c r="E44" s="241"/>
      <x:c r="F44" s="241"/>
      <x:c r="G44" s="241" t="str">
        <x:f>'Financial Statements'!I3</x:f>
        <x:v>2028E</x:v>
      </x:c>
      <x:c r="H44" s="241" t="n">
        <x:f>'Financial Statements'!I27</x:f>
        <x:v>111413.63745075201</x:v>
      </x:c>
      <x:c r="I44" s="241"/>
      <x:c r="J44" s="128"/>
      <x:c r="K44" s="128"/>
      <x:c r="L44" s="128"/>
    </x:row>
    <x:row r="45" ht="15" hidden="0" customHeight="1">
      <x:c r="B45" s="128"/>
      <x:c r="C45" s="128"/>
      <x:c r="D45" s="128"/>
      <x:c r="E45" s="128"/>
      <x:c r="F45" s="128"/>
      <x:c r="G45" s="128"/>
      <x:c r="H45" s="128"/>
      <x:c r="I45" s="128"/>
      <x:c r="J45" s="128"/>
      <x:c r="K45" s="128"/>
      <x:c r="L45" s="128"/>
    </x:row>
    <x:row r="46" ht="15" hidden="0" customHeight="1">
      <x:c r="B46" s="128"/>
      <x:c r="C46" s="128"/>
      <x:c r="D46" s="128"/>
      <x:c r="E46" s="128"/>
      <x:c r="F46" s="128"/>
      <x:c r="G46" s="128"/>
      <x:c r="H46" s="128"/>
      <x:c r="I46" s="128"/>
      <x:c r="J46" s="128"/>
      <x:c r="K46" s="128"/>
      <x:c r="L46" s="128"/>
    </x:row>
    <x:row r="47" ht="15" hidden="0" customHeight="1">
      <x:c r="B47" s="128"/>
      <x:c r="C47" s="128"/>
      <x:c r="D47" s="128"/>
      <x:c r="E47" s="128"/>
      <x:c r="F47" s="128"/>
      <x:c r="G47" s="128"/>
      <x:c r="H47" s="128"/>
      <x:c r="I47" s="128"/>
      <x:c r="J47" s="128"/>
      <x:c r="K47" s="128"/>
      <x:c r="L47" s="128"/>
    </x:row>
    <x:row r="48" ht="15" hidden="0" customHeight="1">
      <x:c r="B48" s="128"/>
      <x:c r="C48" s="128"/>
      <x:c r="D48" s="128"/>
      <x:c r="E48" s="128"/>
      <x:c r="F48" s="128"/>
      <x:c r="G48" s="128"/>
      <x:c r="H48" s="128"/>
      <x:c r="I48" s="128"/>
      <x:c r="J48" s="128"/>
      <x:c r="K48" s="128"/>
      <x:c r="L48" s="128"/>
    </x:row>
    <x:row r="49" ht="15" hidden="0" customHeight="1">
      <x:c r="B49" s="128"/>
      <x:c r="C49" s="128"/>
      <x:c r="D49" s="128"/>
      <x:c r="E49" s="128"/>
      <x:c r="F49" s="128"/>
      <x:c r="G49" s="128"/>
      <x:c r="H49" s="128"/>
      <x:c r="I49" s="128"/>
      <x:c r="J49" s="128"/>
      <x:c r="K49" s="128"/>
      <x:c r="L49" s="128"/>
    </x:row>
    <x:row r="50" ht="15" hidden="0" customHeight="1">
      <x:c r="B50" s="128"/>
      <x:c r="C50" s="128"/>
      <x:c r="D50" s="128"/>
      <x:c r="E50" s="128"/>
      <x:c r="F50" s="128"/>
      <x:c r="G50" s="128"/>
      <x:c r="H50" s="128"/>
      <x:c r="I50" s="128"/>
      <x:c r="J50" s="128"/>
      <x:c r="K50" s="128"/>
      <x:c r="L50" s="128"/>
    </x:row>
    <x:row r="51" ht="15" hidden="0" customHeight="1">
      <x:c r="B51" s="128"/>
      <x:c r="C51" s="128"/>
      <x:c r="D51" s="128"/>
      <x:c r="E51" s="128"/>
      <x:c r="F51" s="128"/>
      <x:c r="G51" s="128"/>
      <x:c r="H51" s="128"/>
      <x:c r="I51" s="128"/>
      <x:c r="J51" s="128"/>
      <x:c r="K51" s="128"/>
      <x:c r="L51" s="128"/>
    </x:row>
    <x:row r="52" ht="15" hidden="0" customHeight="1">
      <x:c r="B52" s="128"/>
      <x:c r="C52" s="128"/>
      <x:c r="D52" s="128"/>
      <x:c r="E52" s="128"/>
      <x:c r="F52" s="128"/>
      <x:c r="G52" s="128"/>
      <x:c r="H52" s="128"/>
      <x:c r="I52" s="128"/>
      <x:c r="J52" s="128"/>
      <x:c r="K52" s="128"/>
      <x:c r="L52" s="128"/>
    </x:row>
    <x:row r="53" ht="15" hidden="0" customHeight="1">
      <x:c r="B53" s="129" t="str">
        <x:v>Scenario</x:v>
      </x:c>
      <x:c r="C53" s="130" t="str">
        <x:v>Risk Score</x:v>
      </x:c>
      <x:c r="D53" s="130" t="str">
        <x:v>Risk Category</x:v>
      </x:c>
      <x:c r="E53" s="131" t="str">
        <x:v>EBIT / Cash Interest Proxy</x:v>
      </x:c>
      <x:c r="F53" s="128"/>
      <x:c r="G53" s="128"/>
      <x:c r="H53" s="128"/>
      <x:c r="I53" s="128"/>
      <x:c r="J53" s="128"/>
      <x:c r="K53" s="128"/>
      <x:c r="L53" s="128"/>
    </x:row>
    <x:row r="54" ht="15" hidden="0" customHeight="1">
      <x:c r="B54" s="242" t="str">
        <x:f>'Scenario Analysis'!B3</x:f>
        <x:v>Base Case</x:v>
      </x:c>
      <x:c r="C54" s="243" t="n">
        <x:f>'Scenario Analysis'!B13</x:f>
        <x:v>1.4</x:v>
      </x:c>
      <x:c r="D54" s="244" t="str">
        <x:f>'Scenario Analysis'!B14</x:f>
        <x:v>Low Risk</x:v>
      </x:c>
      <x:c r="E54" s="245" t="n">
        <x:f>'Scenario Analysis'!B10</x:f>
        <x:v>53.26860799999999</x:v>
      </x:c>
      <x:c r="F54" s="128"/>
      <x:c r="G54" s="128"/>
      <x:c r="H54" s="128"/>
      <x:c r="I54" s="128"/>
      <x:c r="J54" s="128"/>
      <x:c r="K54" s="128"/>
      <x:c r="L54" s="128"/>
    </x:row>
    <x:row r="55" ht="15" hidden="0" customHeight="1">
      <x:c r="B55" s="246" t="str">
        <x:f>'Scenario Analysis'!C3</x:f>
        <x:v>Downside Case</x:v>
      </x:c>
      <x:c r="C55" s="247" t="n">
        <x:f>'Scenario Analysis'!C13</x:f>
        <x:v>1.4</x:v>
      </x:c>
      <x:c r="D55" s="248" t="str">
        <x:f>'Scenario Analysis'!C14</x:f>
        <x:v>Low Risk</x:v>
      </x:c>
      <x:c r="E55" s="249" t="n">
        <x:f>'Scenario Analysis'!C10</x:f>
        <x:v>31.25606916285714</x:v>
      </x:c>
      <x:c r="F55" s="128"/>
      <x:c r="G55" s="128"/>
      <x:c r="H55" s="128"/>
      <x:c r="I55" s="128"/>
      <x:c r="J55" s="128"/>
      <x:c r="K55" s="128"/>
      <x:c r="L55" s="128"/>
    </x:row>
    <x:row r="56" ht="15" hidden="0" customHeight="1">
      <x:c r="B56" s="250" t="str">
        <x:f>'Scenario Analysis'!D3</x:f>
        <x:v>Stress Case</x:v>
      </x:c>
      <x:c r="C56" s="251" t="n">
        <x:f>'Scenario Analysis'!D13</x:f>
        <x:v>1.8250000000000002</x:v>
      </x:c>
      <x:c r="D56" s="252" t="str">
        <x:f>'Scenario Analysis'!D14</x:f>
        <x:v>Moderate Risk</x:v>
      </x:c>
      <x:c r="E56" s="222" t="n">
        <x:f>'Scenario Analysis'!D10</x:f>
        <x:v>15.65597682</x:v>
      </x:c>
      <x:c r="F56" s="128"/>
      <x:c r="G56" s="128"/>
      <x:c r="H56" s="128"/>
      <x:c r="I56" s="128"/>
      <x:c r="J56" s="128"/>
      <x:c r="K56" s="128"/>
      <x:c r="L56" s="128"/>
    </x:row>
    <x:row r="57" ht="15" hidden="0" customHeight="1">
      <x:c r="B57" s="128"/>
      <x:c r="C57" s="128"/>
      <x:c r="D57" s="128"/>
      <x:c r="E57" s="128"/>
      <x:c r="F57" s="128"/>
      <x:c r="G57" s="128"/>
      <x:c r="H57" s="128"/>
      <x:c r="I57" s="128"/>
      <x:c r="J57" s="128"/>
      <x:c r="K57" s="128"/>
      <x:c r="L57" s="128"/>
    </x:row>
  </x:sheetData>
  <x:mergeCells>
    <x:mergeCell ref="B2:L2"/>
    <x:mergeCell ref="B6:L6"/>
    <x:mergeCell ref="B8:C8"/>
    <x:mergeCell ref="B9:C9"/>
    <x:mergeCell ref="E8:F8"/>
    <x:mergeCell ref="E9:F9"/>
    <x:mergeCell ref="H8:I8"/>
    <x:mergeCell ref="H9:I9"/>
    <x:mergeCell ref="B11:C11"/>
    <x:mergeCell ref="B12:C12"/>
    <x:mergeCell ref="E11:F11"/>
    <x:mergeCell ref="E12:F12"/>
    <x:mergeCell ref="H11:I11"/>
    <x:mergeCell ref="H12:I12"/>
    <x:mergeCell ref="B14:C14"/>
    <x:mergeCell ref="B15:C15"/>
    <x:mergeCell ref="E14:F14"/>
    <x:mergeCell ref="E15:F15"/>
    <x:mergeCell ref="H14:I14"/>
    <x:mergeCell ref="H15:I15"/>
  </x:mergeCells>
  <x:pageMargins left="0.7" right="0.7" top="0.75" bottom="0.75" header="0.3" footer="0.3"/>
  <x:drawing xmlns:r="http://schemas.openxmlformats.org/officeDocument/2006/relationships" r:id="R6aa6e0b5e52b4a11"/>
</x:worksheet>
</file>